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Cryo\Private\OTGX\RedditBoardApplication\RedditBoardV3\data\"/>
    </mc:Choice>
  </mc:AlternateContent>
  <xr:revisionPtr revIDLastSave="0" documentId="13_ncr:1_{23F39BDE-2874-4001-8A26-30665B8B9D74}" xr6:coauthVersionLast="47" xr6:coauthVersionMax="47" xr10:uidLastSave="{00000000-0000-0000-0000-000000000000}"/>
  <bookViews>
    <workbookView xWindow="-20610" yWindow="2595" windowWidth="20730" windowHeight="11760" tabRatio="199" xr2:uid="{00000000-000D-0000-FFFF-FFFF00000000}"/>
  </bookViews>
  <sheets>
    <sheet name="main_links" sheetId="2" r:id="rId1"/>
    <sheet name="Core_cat" sheetId="6" r:id="rId2"/>
  </sheets>
  <definedNames>
    <definedName name="_xlnm._FilterDatabase" localSheetId="0" hidden="1">main_links!$A$1:$V$95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6" l="1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23" i="6"/>
  <c r="Q72" i="2" a="1"/>
  <c r="R72" i="2" a="1"/>
  <c r="Q7" i="2" a="1"/>
  <c r="R7" i="2" a="1"/>
  <c r="Q58" i="2" a="1"/>
  <c r="R58" i="2" a="1"/>
  <c r="A72" i="2"/>
  <c r="A7" i="2"/>
  <c r="A58" i="2"/>
  <c r="A84" i="2"/>
  <c r="A52" i="2"/>
  <c r="A51" i="2"/>
  <c r="A93" i="2"/>
  <c r="A32" i="2"/>
  <c r="A95" i="2"/>
  <c r="A25" i="2"/>
  <c r="A26" i="2"/>
  <c r="A38" i="2"/>
  <c r="A41" i="2"/>
  <c r="A80" i="2"/>
  <c r="A44" i="2"/>
  <c r="A24" i="2"/>
  <c r="A42" i="2"/>
  <c r="A39" i="2"/>
  <c r="A36" i="2"/>
  <c r="A37" i="2"/>
  <c r="A43" i="2"/>
  <c r="A11" i="2"/>
  <c r="A54" i="2"/>
  <c r="A89" i="2"/>
  <c r="A90" i="2"/>
  <c r="A35" i="2"/>
  <c r="A88" i="2"/>
  <c r="A71" i="2"/>
  <c r="A55" i="2"/>
  <c r="A16" i="2"/>
  <c r="A40" i="2"/>
  <c r="A20" i="2"/>
  <c r="A30" i="2"/>
  <c r="A4" i="2"/>
  <c r="A18" i="2"/>
  <c r="A10" i="2"/>
  <c r="A15" i="2"/>
  <c r="A56" i="2"/>
  <c r="A33" i="2"/>
  <c r="A57" i="2"/>
  <c r="A76" i="2"/>
  <c r="A91" i="2"/>
  <c r="A12" i="2"/>
  <c r="A92" i="2"/>
  <c r="A28" i="2"/>
  <c r="A21" i="2"/>
  <c r="A17" i="2"/>
  <c r="A31" i="2"/>
  <c r="A47" i="2"/>
  <c r="A22" i="2"/>
  <c r="A8" i="2"/>
  <c r="A46" i="2"/>
  <c r="A29" i="2"/>
  <c r="A74" i="2"/>
  <c r="A6" i="2"/>
  <c r="A27" i="2"/>
  <c r="A78" i="2"/>
  <c r="A19" i="2"/>
  <c r="A53" i="2"/>
  <c r="A9" i="2"/>
  <c r="A94" i="2"/>
  <c r="A5" i="2"/>
  <c r="A14" i="2"/>
  <c r="A2" i="2"/>
  <c r="A85" i="2"/>
  <c r="A79" i="2"/>
  <c r="A34" i="2"/>
  <c r="A75" i="2"/>
  <c r="A23" i="2"/>
  <c r="A3" i="2"/>
  <c r="A87" i="2"/>
  <c r="A13" i="2"/>
  <c r="A49" i="2"/>
  <c r="A50" i="2"/>
  <c r="A48" i="2"/>
  <c r="A64" i="2"/>
  <c r="A83" i="2"/>
  <c r="A82" i="2"/>
  <c r="A86" i="2"/>
  <c r="A45" i="2"/>
  <c r="A66" i="2"/>
  <c r="A67" i="2"/>
  <c r="A65" i="2"/>
  <c r="A69" i="2"/>
  <c r="A68" i="2"/>
  <c r="A70" i="2"/>
  <c r="A60" i="2"/>
  <c r="A59" i="2"/>
  <c r="A63" i="2"/>
  <c r="A61" i="2"/>
  <c r="A73" i="2"/>
  <c r="A62" i="2"/>
  <c r="A77" i="2"/>
  <c r="Q12" i="2" a="1"/>
  <c r="R12" i="2" a="1"/>
  <c r="Q22" i="2" a="1"/>
  <c r="R22" i="2" a="1"/>
  <c r="Q21" i="2" a="1"/>
  <c r="R21" i="2" a="1"/>
  <c r="Q17" i="2" a="1"/>
  <c r="R17" i="2" a="1"/>
  <c r="Q18" i="2" a="1"/>
  <c r="R18" i="2" a="1"/>
  <c r="Q91" i="2" a="1"/>
  <c r="R91" i="2" a="1"/>
  <c r="Q20" i="2" a="1"/>
  <c r="R20" i="2" a="1"/>
  <c r="Q92" i="2" a="1"/>
  <c r="R92" i="2" a="1"/>
  <c r="Q94" i="2" a="1"/>
  <c r="R94" i="2" a="1"/>
  <c r="Q23" i="2" a="1"/>
  <c r="R23" i="2" a="1"/>
  <c r="Q25" i="2" a="1"/>
  <c r="R25" i="2" a="1"/>
  <c r="Q51" i="2" a="1"/>
  <c r="R51" i="2" a="1"/>
  <c r="Q16" i="2" a="1"/>
  <c r="R16" i="2" a="1"/>
  <c r="Q27" i="2" a="1"/>
  <c r="R27" i="2" a="1"/>
  <c r="Q28" i="2" a="1"/>
  <c r="R28" i="2" a="1"/>
  <c r="Q29" i="2" a="1"/>
  <c r="R29" i="2" a="1"/>
  <c r="Q30" i="2" a="1"/>
  <c r="R30" i="2" a="1"/>
  <c r="Q52" i="2" a="1"/>
  <c r="R52" i="2" a="1"/>
  <c r="Q31" i="2" a="1"/>
  <c r="R31" i="2" a="1"/>
  <c r="Q33" i="2" a="1"/>
  <c r="R33" i="2" a="1"/>
  <c r="Q34" i="2" a="1"/>
  <c r="R34" i="2" a="1"/>
  <c r="Q36" i="2" a="1"/>
  <c r="R36" i="2" a="1"/>
  <c r="Q37" i="2" a="1"/>
  <c r="R37" i="2" a="1"/>
  <c r="Q38" i="2" a="1"/>
  <c r="R38" i="2" a="1"/>
  <c r="Q95" i="2" a="1"/>
  <c r="R95" i="2" a="1"/>
  <c r="Q39" i="2" a="1"/>
  <c r="R39" i="2" a="1"/>
  <c r="Q40" i="2" a="1"/>
  <c r="R40" i="2" a="1"/>
  <c r="Q77" i="2" a="1"/>
  <c r="R77" i="2" a="1"/>
  <c r="Q42" i="2" a="1"/>
  <c r="R42" i="2" a="1"/>
  <c r="Q13" i="2" a="1"/>
  <c r="R13" i="2" a="1"/>
  <c r="Q70" i="2" a="1"/>
  <c r="R70" i="2" a="1"/>
  <c r="Q93" i="2" a="1"/>
  <c r="R93" i="2" a="1"/>
  <c r="Q32" i="2" a="1"/>
  <c r="R32" i="2" a="1"/>
  <c r="Q26" i="2" a="1"/>
  <c r="R26" i="2" a="1"/>
  <c r="Q41" i="2" a="1"/>
  <c r="R41" i="2" a="1"/>
  <c r="Q48" i="2" a="1"/>
  <c r="R48" i="2" a="1"/>
  <c r="Q49" i="2" a="1"/>
  <c r="R49" i="2" a="1"/>
  <c r="Q50" i="2" a="1"/>
  <c r="R50" i="2" a="1"/>
  <c r="Q6" i="2" a="1"/>
  <c r="R6" i="2" a="1"/>
  <c r="Q64" i="2" a="1"/>
  <c r="R64" i="2" a="1"/>
  <c r="Q82" i="2" a="1"/>
  <c r="R82" i="2" a="1"/>
  <c r="Q83" i="2" a="1"/>
  <c r="R83" i="2" a="1"/>
  <c r="Q45" i="2" a="1"/>
  <c r="R45" i="2" a="1"/>
  <c r="Q3" i="2" a="1"/>
  <c r="R3" i="2" a="1"/>
  <c r="Q75" i="2" a="1"/>
  <c r="R75" i="2" a="1"/>
  <c r="Q8" i="2" a="1"/>
  <c r="R8" i="2" a="1"/>
  <c r="Q65" i="2" a="1"/>
  <c r="R65" i="2" a="1"/>
  <c r="Q66" i="2" a="1"/>
  <c r="R66" i="2" a="1"/>
  <c r="Q67" i="2" a="1"/>
  <c r="R67" i="2" a="1"/>
  <c r="Q76" i="2" a="1"/>
  <c r="R76" i="2" a="1"/>
  <c r="Q90" i="2" a="1"/>
  <c r="R90" i="2" a="1"/>
  <c r="Q73" i="2" a="1"/>
  <c r="R73" i="2" a="1"/>
  <c r="Q85" i="2" a="1"/>
  <c r="R85" i="2" a="1"/>
  <c r="Q54" i="2" a="1"/>
  <c r="R54" i="2" a="1"/>
  <c r="Q88" i="2" a="1"/>
  <c r="R88" i="2" a="1"/>
  <c r="Q9" i="2" a="1"/>
  <c r="R9" i="2" a="1"/>
  <c r="Q68" i="2" a="1"/>
  <c r="R68" i="2" a="1"/>
  <c r="Q46" i="2" a="1"/>
  <c r="R46" i="2" a="1"/>
  <c r="Q79" i="2" a="1"/>
  <c r="R79" i="2" a="1"/>
  <c r="Q80" i="2" a="1"/>
  <c r="R80" i="2" a="1"/>
  <c r="Q74" i="2" a="1"/>
  <c r="R74" i="2" a="1"/>
  <c r="Q5" i="2" a="1"/>
  <c r="R5" i="2" a="1"/>
  <c r="Q24" i="2" a="1"/>
  <c r="R24" i="2" a="1"/>
  <c r="Q10" i="2" a="1"/>
  <c r="R10" i="2" a="1"/>
  <c r="Q4" i="2" a="1"/>
  <c r="R4" i="2" a="1"/>
  <c r="Q87" i="2" a="1"/>
  <c r="R87" i="2" a="1"/>
  <c r="Q19" i="2" a="1"/>
  <c r="R19" i="2" a="1"/>
  <c r="Q35" i="2" a="1"/>
  <c r="R35" i="2" a="1"/>
  <c r="Q14" i="2" a="1"/>
  <c r="R14" i="2" a="1"/>
  <c r="Q89" i="2" a="1"/>
  <c r="R89" i="2" a="1"/>
  <c r="Q11" i="2" a="1"/>
  <c r="R11" i="2" a="1"/>
  <c r="Q86" i="2" a="1"/>
  <c r="R86" i="2" a="1"/>
  <c r="Q81" i="2" a="1"/>
  <c r="R81" i="2" a="1"/>
  <c r="Q2" i="2" a="1"/>
  <c r="R2" i="2" a="1"/>
  <c r="Q84" i="2" a="1"/>
  <c r="R84" i="2" a="1"/>
  <c r="Q78" i="2" a="1"/>
  <c r="R78" i="2" a="1"/>
  <c r="Q69" i="2" a="1"/>
  <c r="R69" i="2" a="1"/>
  <c r="Q71" i="2" a="1"/>
  <c r="R71" i="2" a="1"/>
  <c r="Q59" i="2" a="1"/>
  <c r="R59" i="2" a="1"/>
  <c r="Q60" i="2" a="1"/>
  <c r="R60" i="2" a="1"/>
  <c r="Q63" i="2" a="1"/>
  <c r="R63" i="2" a="1"/>
  <c r="Q61" i="2" a="1"/>
  <c r="R61" i="2" a="1"/>
  <c r="Q62" i="2" a="1"/>
  <c r="R62" i="2" a="1"/>
  <c r="Q47" i="2" a="1"/>
  <c r="R47" i="2" a="1"/>
  <c r="Q56" i="2" a="1"/>
  <c r="R56" i="2" a="1"/>
  <c r="Q15" i="2" a="1"/>
  <c r="R15" i="2" a="1"/>
  <c r="Q55" i="2" a="1"/>
  <c r="R55" i="2" a="1"/>
  <c r="Q53" i="2" a="1"/>
  <c r="R53" i="2" a="1"/>
  <c r="Q57" i="2" a="1"/>
  <c r="R57" i="2" a="1"/>
  <c r="Q44" i="2" a="1"/>
  <c r="R44" i="2" a="1"/>
  <c r="R43" i="2" a="1"/>
  <c r="Q43" i="2" a="1"/>
  <c r="A81" i="2"/>
  <c r="E9" i="6"/>
  <c r="E10" i="6"/>
  <c r="E11" i="6"/>
  <c r="E12" i="6"/>
  <c r="E13" i="6"/>
  <c r="E14" i="6"/>
  <c r="E15" i="6"/>
  <c r="E16" i="6"/>
  <c r="E17" i="6"/>
  <c r="E8" i="6"/>
  <c r="E2" i="6"/>
  <c r="E3" i="6"/>
  <c r="E4" i="6"/>
  <c r="E5" i="6"/>
  <c r="E6" i="6"/>
  <c r="E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<sst xmlns="http://schemas.openxmlformats.org/spreadsheetml/2006/main" count="1885" uniqueCount="726">
  <si>
    <t>studio</t>
  </si>
  <si>
    <t>language</t>
  </si>
  <si>
    <t>core_cat</t>
  </si>
  <si>
    <t>english</t>
  </si>
  <si>
    <t>general_tags</t>
  </si>
  <si>
    <t>rate</t>
  </si>
  <si>
    <t>lesbian</t>
  </si>
  <si>
    <t>bdsm-hard-maledom</t>
  </si>
  <si>
    <t>piper perri</t>
  </si>
  <si>
    <t>bdsm-hard-femdom</t>
  </si>
  <si>
    <t>bdsm</t>
  </si>
  <si>
    <t>soft</t>
  </si>
  <si>
    <t>hard</t>
  </si>
  <si>
    <t>maledom</t>
  </si>
  <si>
    <t>femdom</t>
  </si>
  <si>
    <t>lesdom</t>
  </si>
  <si>
    <t>normal</t>
  </si>
  <si>
    <t>rough</t>
  </si>
  <si>
    <t>sensual</t>
  </si>
  <si>
    <t>cis</t>
  </si>
  <si>
    <t>normal-sensual-lesbian</t>
  </si>
  <si>
    <t>flag</t>
  </si>
  <si>
    <t>categories</t>
  </si>
  <si>
    <t>positions</t>
  </si>
  <si>
    <t>resolution</t>
  </si>
  <si>
    <t>video_name</t>
  </si>
  <si>
    <t>downloaded</t>
  </si>
  <si>
    <t>download_note</t>
  </si>
  <si>
    <t>kink sex and submission</t>
  </si>
  <si>
    <t>kink whipped ass</t>
  </si>
  <si>
    <t>z-not-applicable</t>
  </si>
  <si>
    <t>type</t>
  </si>
  <si>
    <t>user</t>
  </si>
  <si>
    <t>data type</t>
  </si>
  <si>
    <t>content domain</t>
  </si>
  <si>
    <t>string</t>
  </si>
  <si>
    <t>done,pending</t>
  </si>
  <si>
    <t>reddit hyperlink</t>
  </si>
  <si>
    <t>site_link</t>
  </si>
  <si>
    <t>reddit_link</t>
  </si>
  <si>
    <t>redgifs, z-not-applicable</t>
  </si>
  <si>
    <t>gif,text,comment</t>
  </si>
  <si>
    <t>studioname,z-user-studio</t>
  </si>
  <si>
    <t>username,z-generic-user</t>
  </si>
  <si>
    <t>predefined</t>
  </si>
  <si>
    <t>comma seperated identifiers</t>
  </si>
  <si>
    <t>english,none</t>
  </si>
  <si>
    <t>0 to 10</t>
  </si>
  <si>
    <t>int</t>
  </si>
  <si>
    <t>reddit_website</t>
  </si>
  <si>
    <t>site_website</t>
  </si>
  <si>
    <t>mostly reddit.com or old.reddit</t>
  </si>
  <si>
    <t>yes,no</t>
  </si>
  <si>
    <t>video_name,z-not-applicable</t>
  </si>
  <si>
    <t>resolution,z-not-applicable</t>
  </si>
  <si>
    <t>column name</t>
  </si>
  <si>
    <t>data format</t>
  </si>
  <si>
    <t>boolean</t>
  </si>
  <si>
    <t>free text</t>
  </si>
  <si>
    <t>3 choice</t>
  </si>
  <si>
    <t>redefined matrix</t>
  </si>
  <si>
    <t>pulled from col 3</t>
  </si>
  <si>
    <t>pulled from col 2</t>
  </si>
  <si>
    <t>ordinal scale</t>
  </si>
  <si>
    <t>if "downloaded" then free text, else z-not-applicable</t>
  </si>
  <si>
    <t>if "type" gif then free text, else z-not-applicable</t>
  </si>
  <si>
    <t>normal-rough-maledom</t>
  </si>
  <si>
    <t>NutsNoMore</t>
  </si>
  <si>
    <t>star</t>
  </si>
  <si>
    <t>star,z-unknown-star,z-generic-user,username</t>
  </si>
  <si>
    <t>gif</t>
  </si>
  <si>
    <t>text</t>
  </si>
  <si>
    <t>comment</t>
  </si>
  <si>
    <t>Ana-Katana</t>
  </si>
  <si>
    <t>Aurora_Fiend</t>
  </si>
  <si>
    <t>MistressEvilKitten</t>
  </si>
  <si>
    <t>Mulberry212</t>
  </si>
  <si>
    <t>https://old.reddit.com/r/ChastityCouples/comments/1u7amm5/paranormal_activity_mutated_sperm_cells_aliens/</t>
  </si>
  <si>
    <t>https://old.reddit.com/r/ChastityCouples/comments/1bij5ed/had_a_weak_moment_when_i_promised_him_a_blowjob/</t>
  </si>
  <si>
    <t>https://old.reddit.com/r/ChastityCouples/comments/1b6qr12/sometimes_wondering_how_many_nuts_you_guys_have/</t>
  </si>
  <si>
    <t>https://old.reddit.com/r/ChastityCouples/comments/18fgubp/surprised_him_with_a_smaller_cage_and_i_dont/</t>
  </si>
  <si>
    <t>https://old.reddit.com/r/ChastityCouples/comments/18qmdzx/made_him_wait_almost_3_hrs_like_that_while_i/</t>
  </si>
  <si>
    <t>https://old.reddit.com/user/NutsNoMore/comments/1dh5den/take_a_look_what_happened_to_my_oj_matcha_latte/</t>
  </si>
  <si>
    <t>https://old.reddit.com/r/ChastityCouples/comments/1asif8h/he_made_5_months_so_far_and_ill_continue_to_tease/</t>
  </si>
  <si>
    <t>https://old.reddit.com/user/NutsNoMore/comments/1dr91l5/eat_this_a_message_to_all_the_cashewclits_out/</t>
  </si>
  <si>
    <t>https://old.reddit.com/user/NutsNoMore/comments/1f9jnxx/love_to_feel_all_the_missed_opportunities_inside/</t>
  </si>
  <si>
    <t>https://old.reddit.com/r/ChastityCouples/comments/1hhrk1t/conditioned_to_believe_his_tongue_in_my_ass_was/</t>
  </si>
  <si>
    <t>https://old.reddit.com/r/ChastityCouples/comments/1jevd5l/lets_be_honest_he_never_stood_a_chance/</t>
  </si>
  <si>
    <t>https://old.reddit.com/r/ChastityCouples/comments/1jevd5l/lets_be_honest_he_never_stood_a_chance/mirqo83/</t>
  </si>
  <si>
    <t>https://old.reddit.com/r/ChastityCouples/comments/18b6vnp/todays_trial_is_tampon_torture_have_fun_getting/</t>
  </si>
  <si>
    <t>https://old.reddit.com/r/ChastityCouples/comments/1k7i8qa/dont_like_it_so_sorry_now_drink_it/</t>
  </si>
  <si>
    <t>https://old.reddit.com/r/ChastityCouples/comments/1kf8v76/he_used_to_be_argumentative_now_he_is_hardware_on/</t>
  </si>
  <si>
    <t>https://old.reddit.com/r/ChastityCouples/comments/1krv0jw/taking_a_bath_together_is_better_than_they_say_it/</t>
  </si>
  <si>
    <t>https://old.reddit.com/r/ChastityCouples/comments/1lzjixy/its_not_enough_for_you_to_just_accept_denial_i/</t>
  </si>
  <si>
    <t>https://old.reddit.com/r/ChastityCouples/comments/1m19ymo/every_marble_is_a_price_tag_on_your_pleasure_and/n3vwt44/</t>
  </si>
  <si>
    <t>https://old.reddit.com/r/ChastityCouples/comments/1m19ymo/every_marble_is_a_price_tag_on_your_pleasure_and/</t>
  </si>
  <si>
    <t>https://old.reddit.com/r/ChastityCouples/comments/1nf0lvn/heres_how_to_use_his_bulging_out_desperation_for/</t>
  </si>
  <si>
    <t>https://old.reddit.com/r/ChastityCouples/comments/1nnjoqe/stripped_of_every_biological_function_his_balls/</t>
  </si>
  <si>
    <t>https://old.reddit.com/r/ChastityCouples/comments/1ou8bxq/you_have_no_idea_how_many_ways_ill_find_to_make/</t>
  </si>
  <si>
    <t>https://old.reddit.com/r/ChastityCouples/comments/1p0atbh/educating_my_maid_in_every_way_she_could_be/</t>
  </si>
  <si>
    <t>https://old.reddit.com/r/ChastityCouples/comments/1p5fws0/guess_well_never_really_find_out_where_this/</t>
  </si>
  <si>
    <t>https://old.reddit.com/user/NutsNoMore/comments/1ow1rdn/he_doesnt_need_dignity_he_needs_female_guidance/</t>
  </si>
  <si>
    <t>https://old.reddit.com/r/ChastityCouples/comments/1qcm13s/restructuring_male_disappointment_into_female/</t>
  </si>
  <si>
    <t>https://old.reddit.com/r/ChastityCouples/comments/1r0ztgv/its_a_tight_fit_isnt_it_such_a_pity_because_my/</t>
  </si>
  <si>
    <t>https://old.reddit.com/r/ChastityCouples/comments/1r0ztgv/its_a_tight_fit_isnt_it_such_a_pity_because_my/o4nnp3w/</t>
  </si>
  <si>
    <t>https://old.reddit.com/r/ChastityCouples/comments/1t74ow4/just_suck_it_up_buttercup_we_need_to_move_forward/</t>
  </si>
  <si>
    <t>https://old.reddit.com/r/chastity/comments/1suw6hn/after_a_long_time_heres_how_many_balls_he_took/</t>
  </si>
  <si>
    <t>https://old.reddit.com/r/RoleReversal/comments/aghusx/whats_the_difference_between_rr_gfd_flr/</t>
  </si>
  <si>
    <t>https://old.reddit.com/r/RoleReversal/comments/aghusx/whats_the_difference_between_rr_gfd_flr/ee6gep9/</t>
  </si>
  <si>
    <t>https://old.reddit.com/r/malehousewives/comments/1m7dz9z/our_flr_with_femdom/</t>
  </si>
  <si>
    <t>https://old.reddit.com/r/flrdating/comments/1jkh2w7/how_to_change_your_relationship_into_flr_guide/</t>
  </si>
  <si>
    <t>https://old.reddit.com/user/NutsNoMore/comments/1f6ad7l/shared_my_first_testimonial_on_how_the_betaseed/</t>
  </si>
  <si>
    <t>https://old.reddit.com/r/flr/comments/1tbtrec/it_was_never_supposed_to_go_this_far_but_i_love_it/</t>
  </si>
  <si>
    <t>https://old.reddit.com/r/flr/comments/1tbtrec/it_was_never_supposed_to_go_this_far_but_i_love_it/olllswm/</t>
  </si>
  <si>
    <t>https://old.reddit.com/r/flr/comments/1csa95r/how_sph_led_to_our_flr_unexpectedly/</t>
  </si>
  <si>
    <t>https://old.reddit.com/r/BdsmNoRestriction/comments/1futx6g/playing_mind_games_before_the_first_ties_go_on/</t>
  </si>
  <si>
    <t>https://old.reddit.com/r/flr/comments/1isinrv/male_thoughts_on_our_position_in_flrs/</t>
  </si>
  <si>
    <t>https://old.reddit.com/r/flr/comments/1pzm5bf/i_dated_two_millionaires_and_it_didnt_bring_me/</t>
  </si>
  <si>
    <t>https://old.reddit.com/r/flr/comments/14jb0kl/my_husband_turned_into_my_butler_pa_how_to/</t>
  </si>
  <si>
    <t>https://old.reddit.com/r/flr/comments/14jb0kl/my_husband_turned_into_my_butler_pa_how_to/jpn7ag4/</t>
  </si>
  <si>
    <t>https://old.reddit.com/r/asslick/comments/1t9a4bx/double_asslicking/</t>
  </si>
  <si>
    <t>https://old.reddit.com/r/lesbians/comments/1t85wj7/something_absolutely_beautiful/</t>
  </si>
  <si>
    <t>https://old.reddit.com/r/beyond_insex/comments/1rhjgb3/list_the_best_pussy_flogging_scenes/</t>
  </si>
  <si>
    <t>https://old.reddit.com/r/flr/comments/1smrhz7/men_and_women_in_flr_how_much_have_arguments_and/</t>
  </si>
  <si>
    <t>https://old.reddit.com/r/lesdom/comments/1ng15z6/listen_i_dont_have_your_money_is_there_another/</t>
  </si>
  <si>
    <t>https://old.reddit.com/user/Malice_Jade/comments/1sk7ilx/not_having_a_dick_even_outside_the_cage_aww_that/</t>
  </si>
  <si>
    <t>https://old.reddit.com/r/gentlefemdom/comments/1r8j5wu/infographics_on_adult_spanking_part_2/</t>
  </si>
  <si>
    <t>https://old.reddit.com/r/shinybondage/comments/1s6v1o2/hmmm_how_do_i_want_to_play_with_you_next/</t>
  </si>
  <si>
    <t>https://old.reddit.com/r/femdomgonewild/comments/1p7j1ln/ill_create_red_horizontal_stripes_on_his_ass/</t>
  </si>
  <si>
    <t>https://old.reddit.com/user/Aurora_Fiend/comments/1s480iu/can_we_normalize_this/</t>
  </si>
  <si>
    <t>https://old.reddit.com/r/CagedAndFucked/comments/1jj331b/i_like_to_grab_him_by_the_balls_while_pegging/</t>
  </si>
  <si>
    <t>https://old.reddit.com/r/flr/comments/1m6izds/psa_the_key_differences_between_flr_femdom/</t>
  </si>
  <si>
    <t>https://old.reddit.com/r/Deep_Anal/comments/13shbj0/barely_legal_babe_angel_smalls_has_her_asshole/</t>
  </si>
  <si>
    <t>https://old.reddit.com/r/PiperPerriLove/comments/1rwuqiy/how_much_weight_is_she/</t>
  </si>
  <si>
    <t>https://old.reddit.com/r/PiperPerriLove/comments/1rynlou/lip_service/</t>
  </si>
  <si>
    <t>https://old.reddit.com/r/lesbians/comments/1rv3yvd/this_every_night/</t>
  </si>
  <si>
    <t>https://old.reddit.com/r/BDSMGW/comments/tk5ppf/sir_using_my_thong_to_whip_my_asshole_before/</t>
  </si>
  <si>
    <t>https://old.reddit.com/r/ChastityCouples/comments/1ifyicw/how_much_smaller_do_you_think_i_should_shrink_my/</t>
  </si>
  <si>
    <t>https://old.reddit.com/r/chastity/comments/1k876oh/how_can_i_make_his_sissy_cock_not_get_hard_and/</t>
  </si>
  <si>
    <t>https://old.reddit.com/r/bdsm/comments/1rlh9dm/victoria_voxxx/</t>
  </si>
  <si>
    <t>https://old.reddit.com/r/WedgieGirls/comments/1riw7nx/a_few_of_my_favorite_wedgie_moments/</t>
  </si>
  <si>
    <t>https://old.reddit.com/r/ChastityCouples/comments/199omq2/i_never_get_tired_of_cramming_his_dick_into_the/</t>
  </si>
  <si>
    <t>https://old.reddit.com/r/ChastityCouples/comments/1orrjay/time_to_make_his_clit_disappear_permanently/</t>
  </si>
  <si>
    <t>https://old.reddit.com/r/ChastityCouples/comments/13w2imu/i_was_nice_enough_to_let_him_play_with_his_pocket/</t>
  </si>
  <si>
    <t>https://old.reddit.com/user/Malice_Jade/comments/1reahfd/unlocked_for_teasing_and_then_promptly_squished/</t>
  </si>
  <si>
    <t>https://old.reddit.com/r/chastity/comments/1recnbw/i_told_him_after_his_shower_it_was_time_to_lock/</t>
  </si>
  <si>
    <t>https://old.reddit.com/r/stellarblade34/comments/1c9e3w1/eve_x_bayonetta_x_2b_mikamipinup/</t>
  </si>
  <si>
    <t>https://old.reddit.com/r/predicamentbondage/comments/1i9o6m1/throat_training_on_the_throatmaster_2_10kg_weight/</t>
  </si>
  <si>
    <t>https://old.reddit.com/r/AnalHooks/comments/1kg5ec0/everytime_i_get_spanked_im_also_hooked_to_keep_my/</t>
  </si>
  <si>
    <t>https://old.reddit.com/r/shinybondage/comments/1jochc1/anakatana_thoroughly_used_and_loving_it/</t>
  </si>
  <si>
    <t>https://old.reddit.com/r/nsfw_gifs/comments/18dkemh/getting_my_ass_used_in_a_gloryhole_for_girls/</t>
  </si>
  <si>
    <t>https://old.reddit.com/r/chastitytraining/comments/1jn3lly/a_female_perspective_on_247_chastity_and_flr/</t>
  </si>
  <si>
    <t>https://old.reddit.com/r/fuckingmachines/comments/1p53wef/taking_a_fat_knot_12_deep_in_my_pussy/</t>
  </si>
  <si>
    <t>https://old.reddit.com/r/Femdom/comments/4eknid/help_me_give_him_the_worst_weekend_humanly/</t>
  </si>
  <si>
    <t>https://old.reddit.com/r/Femdom/comments/4eknid/help_me_give_him_the_worst_weekend_humanly/d21dyau/</t>
  </si>
  <si>
    <t>https://old.reddit.com/r/Femdom/comments/4eknid/help_me_give_him_the_worst_weekend_humanly/d21m1oj/</t>
  </si>
  <si>
    <t>https://old.reddit.com/r/FemdomCommunity/comments/771l77/femdom_experience_tips_and_suggestions/</t>
  </si>
  <si>
    <t>https://old.reddit.com/r/Femdom/comments/1geph1n/humiliating_my_sissy_roommate/</t>
  </si>
  <si>
    <t>https://old.reddit.com/r/FemdomHumiliation/comments/198w615/oc_merciless_but_thats_what_a_real_woman_should/</t>
  </si>
  <si>
    <t>https://old.reddit.com/r/ChastityCouples/comments/16mxntx/best_way_to_use_a_spiked_bra/</t>
  </si>
  <si>
    <t>https://old.reddit.com/r/FemdomHumiliation/comments/176isli/oc_would_you_let_her_dig_into_your_cock_with_her/</t>
  </si>
  <si>
    <t>https://old.reddit.com/r/femdomgonewild/comments/1isi7jo/eat_my_thong/</t>
  </si>
  <si>
    <t>https://old.reddit.com/r/FemdomHumiliation/comments/1k8b6nn/domme_what_should_i_do_to_my_cockless_little/</t>
  </si>
  <si>
    <t>https://old.reddit.com/r/ChastityCouples/comments/t0wvuq/oversized_weiner_undersized_cage_and_spikes/</t>
  </si>
  <si>
    <t>https://redgifs.com/watch/priceygruesomeasianpiedstarling</t>
  </si>
  <si>
    <t>https://www.redgifs.com/watch/miniaturegivinglhasaapso</t>
  </si>
  <si>
    <t>https://www.redgifs.com/watch/knownforsakenmink</t>
  </si>
  <si>
    <t>https://www.redgifs.com/watch/lavenderblushcapitalnabarlek</t>
  </si>
  <si>
    <t>https://www.redgifs.com/watch/bustlingsweetbushsqueaker</t>
  </si>
  <si>
    <t>https://www.redgifs.com/watch/flawlessstableferret</t>
  </si>
  <si>
    <t>https://www.redgifs.com/watch/aridlastingballoonfish</t>
  </si>
  <si>
    <t>https://www.redgifs.com/watch/foolishweewalleye</t>
  </si>
  <si>
    <t>https://www.redgifs.com/watch/politelightgreyheron</t>
  </si>
  <si>
    <t>https://www.redgifs.com/watch/thirstyhospitableharpseal</t>
  </si>
  <si>
    <t>https://i.redd.it/u64ccvmizmpe1.png</t>
  </si>
  <si>
    <t>https://www.redgifs.com/watch/affectionatesecretneedletail</t>
  </si>
  <si>
    <t>https://www.redgifs.com/watch/nocturnalplayfulredhead</t>
  </si>
  <si>
    <t>https://www.redgifs.com/watch/grandanchoredreptile</t>
  </si>
  <si>
    <t>https://www.redgifs.com/watch/necessaryoverdueleech</t>
  </si>
  <si>
    <t>https://www.redgifs.com/watch/azurenavyblueamericansaddlebred</t>
  </si>
  <si>
    <t>https://www.redgifs.com/watch/lightslatebluesympatheticworm</t>
  </si>
  <si>
    <t>https://www.redgifs.com/watch/droopytrainedpipit</t>
  </si>
  <si>
    <t>https://www.redgifs.com/watch/shoddycoldlowchen</t>
  </si>
  <si>
    <t>https://redgifs.com/watch/lavenderrotatingmacropod</t>
  </si>
  <si>
    <t>https://redgifs.com/watch/outlandishimpressivepeacock</t>
  </si>
  <si>
    <t>https://i.redd.it/efonsoy6973g1.jpeg</t>
  </si>
  <si>
    <t>https://i.redd.it/8c0jl25w511g1.jpeg</t>
  </si>
  <si>
    <t>https://redgifs.com/watch/jovialtwinrabidsquirrel</t>
  </si>
  <si>
    <t>https://www.redgifs.com/watch/agitatedvaincaiman</t>
  </si>
  <si>
    <t>https://redgifs.com/watch/curvyturquoisemountainlion</t>
  </si>
  <si>
    <t>https://www.redgifs.com/watch/wavyimpracticalacornweevil</t>
  </si>
  <si>
    <t>https://www.redgifs.com/watch/nocturnalgenuinexenarthra</t>
  </si>
  <si>
    <t>https://www.redgifs.com/watch/trustingmassivexenurusunicinctus</t>
  </si>
  <si>
    <t>https://www.redgifs.com/watch/staidfoolhardyindigobunting</t>
  </si>
  <si>
    <t>https://www.redgifs.com/watch/miserableredirukandjijellyfish</t>
  </si>
  <si>
    <t>https://www.redgifs.com/watch/faintmediocresiamesecat</t>
  </si>
  <si>
    <t>https://redgifs.com/watch/whoppingenergeticturaco</t>
  </si>
  <si>
    <t>https://www.reddit.com/gallery/1r8j5wu</t>
  </si>
  <si>
    <t>https://www.redgifs.com/watch/secretlightcyanbanteng</t>
  </si>
  <si>
    <t>https://redgifs.com/watch/serenemasculineeasteuropeanshepherd</t>
  </si>
  <si>
    <t>https://v3.redgifs.com/watch/825003576404150323</t>
  </si>
  <si>
    <t>https://www.redgifs.com/watch/polishedblindsnoutbutterfly</t>
  </si>
  <si>
    <t>https://www.redgifs.com/watch/motherlyloyalafricanclawedfrog?dsbSf=461</t>
  </si>
  <si>
    <t>https://www.redgifs.com/watch/severalflashywildebeest</t>
  </si>
  <si>
    <t>https://i.redd.it/17t0cu8qw4qg1.gif</t>
  </si>
  <si>
    <t>https://www.redgifs.com/watch/niftyunhappyflickertailsquirrel</t>
  </si>
  <si>
    <t>https://www.redgifs.com/watch/poshboilingmuskrat</t>
  </si>
  <si>
    <t>https://i.redd.it/taqgzqpslqge1.gif</t>
  </si>
  <si>
    <t>https://www.redgifs.com/watch/completedenseayeaye</t>
  </si>
  <si>
    <t>https://www.redgifs.com/watch/breakablekhakicurlew</t>
  </si>
  <si>
    <t>https://www.redgifs.com/watch/uniformpreviouskitten</t>
  </si>
  <si>
    <t>https://www.redgifs.com/watch/parallelsourgrouper</t>
  </si>
  <si>
    <t>https://v3.redgifs.com/watch/775012050328010830</t>
  </si>
  <si>
    <t>https://www.redgifs.com/watch/pricklyimpressionablesawfish</t>
  </si>
  <si>
    <t>https://redgifs.com/watch/spiritedstalepharaohhound</t>
  </si>
  <si>
    <t>https://redgifs.com/watch/regalbusykawala</t>
  </si>
  <si>
    <t>https://www.reddit.com/gallery/1c9e3w1</t>
  </si>
  <si>
    <t>https://www.reddit.com/gallery/1i9o6m1</t>
  </si>
  <si>
    <t>https://www.redgifs.com/watch/ruddyoilycockroach</t>
  </si>
  <si>
    <t>https://www.reddit.com/gallery/1jochc1</t>
  </si>
  <si>
    <t>https://www.redgifs.com/watch/orangeredunacceptablehyena</t>
  </si>
  <si>
    <t>https://v3.redgifs.com/watch/grayillegalcoati</t>
  </si>
  <si>
    <t>https://www.redgifs.com/watch/lopsideddeadlykusimanse</t>
  </si>
  <si>
    <t>https://www.redgifs.com/watch/dimgreyillegalant</t>
  </si>
  <si>
    <t>https://www.redgifs.com/watch/deafeninggivingwoollybearcaterpillar</t>
  </si>
  <si>
    <t>https://www.redgifs.com/ifr/felineyellowbirdofparadise</t>
  </si>
  <si>
    <t>https://www.redgifs.com/watch/plumenlightenedaltiplanochinchillamouse</t>
  </si>
  <si>
    <t>https://www.redgifs.com/watch/eagerdrycaimanlizard</t>
  </si>
  <si>
    <t>https://i.redd.it/sbiwlp909xj81.gif</t>
  </si>
  <si>
    <t>img</t>
  </si>
  <si>
    <t>uprage</t>
  </si>
  <si>
    <t>guntrail</t>
  </si>
  <si>
    <t>PegOnTheBeach</t>
  </si>
  <si>
    <t>dumbas_account</t>
  </si>
  <si>
    <t>BlerptheDamnCookie</t>
  </si>
  <si>
    <t>DorindaSavage</t>
  </si>
  <si>
    <t>miamiamia2204</t>
  </si>
  <si>
    <t>Dommewifesubhusband</t>
  </si>
  <si>
    <t>sirmixalotknew</t>
  </si>
  <si>
    <t>LacyRedFox</t>
  </si>
  <si>
    <t>Slow_Temperature_777</t>
  </si>
  <si>
    <t>Lady_Ayn</t>
  </si>
  <si>
    <t>MystPetal</t>
  </si>
  <si>
    <t>Sjowbs</t>
  </si>
  <si>
    <t>Regular_Art9853</t>
  </si>
  <si>
    <t>zivaara</t>
  </si>
  <si>
    <t>SpankingTrove</t>
  </si>
  <si>
    <t>Malice_Jade</t>
  </si>
  <si>
    <t>ms2ddrne</t>
  </si>
  <si>
    <t>LockandLoadHim</t>
  </si>
  <si>
    <t>PowerOfTheSecretKey</t>
  </si>
  <si>
    <t>missporkiepie</t>
  </si>
  <si>
    <t>SluttyShoe</t>
  </si>
  <si>
    <t>konan-3158</t>
  </si>
  <si>
    <t>AdultArtProject</t>
  </si>
  <si>
    <t>deleted</t>
  </si>
  <si>
    <t>TheFinerStuff</t>
  </si>
  <si>
    <t>evilsofia</t>
  </si>
  <si>
    <t>Ram_chan1988</t>
  </si>
  <si>
    <t>Emilyincharge</t>
  </si>
  <si>
    <t>profanegirls</t>
  </si>
  <si>
    <t>movealongmutie</t>
  </si>
  <si>
    <t>BL822</t>
  </si>
  <si>
    <t>Perv_Couple</t>
  </si>
  <si>
    <t>Wide_Discussion_447</t>
  </si>
  <si>
    <t>lilijunex</t>
  </si>
  <si>
    <t>complicitkink</t>
  </si>
  <si>
    <t>rubberducky1235</t>
  </si>
  <si>
    <t>SubPetToy</t>
  </si>
  <si>
    <t>dominantGF</t>
  </si>
  <si>
    <t>yellowmevious</t>
  </si>
  <si>
    <t>HuntressOfDomination</t>
  </si>
  <si>
    <t>Chastitycouple666</t>
  </si>
  <si>
    <t>sexyschlong</t>
  </si>
  <si>
    <t>iriseverest</t>
  </si>
  <si>
    <t>subreddit</t>
  </si>
  <si>
    <t>ChastityCouples</t>
  </si>
  <si>
    <t>u_NutsNoMore</t>
  </si>
  <si>
    <t>chastity</t>
  </si>
  <si>
    <t>RoleReversal</t>
  </si>
  <si>
    <t>malehousewives</t>
  </si>
  <si>
    <t>flrdating</t>
  </si>
  <si>
    <t>flr</t>
  </si>
  <si>
    <t>BdsmNoRestriction</t>
  </si>
  <si>
    <t>asslick</t>
  </si>
  <si>
    <t>lesbians</t>
  </si>
  <si>
    <t>beyond_insex</t>
  </si>
  <si>
    <t>u_Malice_Jade</t>
  </si>
  <si>
    <t>gentlefemdom</t>
  </si>
  <si>
    <t>shinybondage</t>
  </si>
  <si>
    <t>femdomgonewild</t>
  </si>
  <si>
    <t>u_Aurora_Fiend</t>
  </si>
  <si>
    <t>CagedAndFucked</t>
  </si>
  <si>
    <t>Deep_Anal</t>
  </si>
  <si>
    <t>PiperPerriLove</t>
  </si>
  <si>
    <t>BDSMGW</t>
  </si>
  <si>
    <t>WedgieGirls</t>
  </si>
  <si>
    <t>FemdomHumiliation</t>
  </si>
  <si>
    <t>stellarblade34</t>
  </si>
  <si>
    <t>predicamentbondage</t>
  </si>
  <si>
    <t>AnalHooks</t>
  </si>
  <si>
    <t>nsfw_gifs</t>
  </si>
  <si>
    <t>chastitytraining</t>
  </si>
  <si>
    <t>fuckingmachines</t>
  </si>
  <si>
    <t>Femdom</t>
  </si>
  <si>
    <t>FemdomCommunity</t>
  </si>
  <si>
    <t>Paranormal Activity? Mutated sperm cells? Aliens? Whatever lives inside there is fighting to breach our reality. Too bad, I'm keeping the portal locked</t>
  </si>
  <si>
    <t>Had a weak moment when I promised him a blowjob. However, did not forget to mention that I'll choose the method myself...</t>
  </si>
  <si>
    <t>Sometimes wondering how many nuts you guys have squeezed out since I started to torture the orgasm-free inmate...</t>
  </si>
  <si>
    <t>Surprised him with a smaller cage and I dont think, he will find much sleep tonight...</t>
  </si>
  <si>
    <t>Made him wait almost 3 hrs like that, while I flirted on the beach</t>
  </si>
  <si>
    <t>Take a look what happened to my OJ, matcha latte and double espresso after brunch with the gals..</t>
  </si>
  <si>
    <t>He made 5 months so far and I'll continue to tease him until his balls are literally goin to sweat cum!</t>
  </si>
  <si>
    <t>Eat This: A message to all the cashew-clits out there!</t>
  </si>
  <si>
    <t>Love to feel all the missed opportunities inside his balls!</t>
  </si>
  <si>
    <t>Conditioned to believe his tongue in my ass was his life’s purpose - and I’d do it again</t>
  </si>
  <si>
    <t>Let's be honest: he never stood a chance</t>
  </si>
  <si>
    <t>Today's trial ... is Tampon Torture. Have fun getting them out again. The cage stays locked!</t>
  </si>
  <si>
    <t>Don't like it? So sorry. Now drink it!</t>
  </si>
  <si>
    <t>He used to be argumentative. Now he is hardware on which my code has overwritten all default settings</t>
  </si>
  <si>
    <t>Taking a bath together is better than they say it is...</t>
  </si>
  <si>
    <t>It’s not enough for you to just accept denial. I want you close enough to feel every shiver of my arousal, until your mind can’t tell where you end and my pleasure begins</t>
  </si>
  <si>
    <t>Every marble is a price tag on your pleasure and I make you pay in pain</t>
  </si>
  <si>
    <t>Here's how to use his bulging out desperation for your own arousal. I'm such a good girl...</t>
  </si>
  <si>
    <t>Stripped of every biological function, his balls remain a source of endless entertainment</t>
  </si>
  <si>
    <t>You have no idea how many ways I’ll find to make you useful</t>
  </si>
  <si>
    <t>Educating my maid in every way she could be expected to serve</t>
  </si>
  <si>
    <t>Guess we’ll never really find out where this tampon went.. but you can probably imagine</t>
  </si>
  <si>
    <t>He doesn’t need dignity, he needs female guidance</t>
  </si>
  <si>
    <t>Restructuring male disappointment into female utility since 2023</t>
  </si>
  <si>
    <t>It's a tight fit, isn't it? Such a pity.. because my mouth is about to make sure you have nowhere left to grow 😚</t>
  </si>
  <si>
    <t>Just suck it up, buttercup! We need to move forward with what was agreed upon...</t>
  </si>
  <si>
    <t>After a long time, here's how many balls he took inside! I still think he could take more, don't you think?</t>
  </si>
  <si>
    <t>What's the difference between RR, GFD, &amp; FLR?</t>
  </si>
  <si>
    <t>Our FLR with Femdom</t>
  </si>
  <si>
    <t>How to change your relationship into FLR (Guide for women)</t>
  </si>
  <si>
    <t>Shared my first testimonial on how the beta-seed was planted in my bf's mind</t>
  </si>
  <si>
    <t>It was never supposed to go this far but I love it 😈😈</t>
  </si>
  <si>
    <t>How SPH led to our FLR unexpectedly</t>
  </si>
  <si>
    <t>Playing mind games before the first ties go on</t>
  </si>
  <si>
    <t>Male thoughts on our position in FLRs</t>
  </si>
  <si>
    <t>I dated two millionaires, and it didn't bring me happiness. FLR did.</t>
  </si>
  <si>
    <t>My husband turned into my butler &amp; PA, how to control dynamic?</t>
  </si>
  <si>
    <t>double asslicking</t>
  </si>
  <si>
    <t>Something absolutely beautiful</t>
  </si>
  <si>
    <t>List the best pussy flogging scenes</t>
  </si>
  <si>
    <t>Men and women in Flr, how much have arguments and fights reduced since beginning of Flr?</t>
  </si>
  <si>
    <t>"Listen, I don't have your money. Is there another way I can pay you?"</t>
  </si>
  <si>
    <t>Not having a dick even outside the cage, aww, that has to be frustrating. Hot little stump though. Story inside</t>
  </si>
  <si>
    <t>Infographics on Adult Spanking (part 2)</t>
  </si>
  <si>
    <t>Hmmm… how do I want to play with you next?</t>
  </si>
  <si>
    <t>I'll create red horizontal stripes on his ass.</t>
  </si>
  <si>
    <t>Can we normalize this?</t>
  </si>
  <si>
    <t>I like to grab him by the balls while pegging</t>
  </si>
  <si>
    <t>PSA: The Key Differences Between FLR, Femdom, Domestic Servitude, When and How they Overlap and Why It Matters</t>
  </si>
  <si>
    <t>Barely legal babe Angel Smalls has her asshole wrecked on her birthday</t>
  </si>
  <si>
    <t>How much weight is she ?</t>
  </si>
  <si>
    <t>Lip Service</t>
  </si>
  <si>
    <t>This every night</t>
  </si>
  <si>
    <t>Sir using [M]y thong to whip my asshole be[F]ore inserting an anal hook with no lube, enjoy my pain!</t>
  </si>
  <si>
    <t>How much smaller do you think I should shrink my fiancé?</t>
  </si>
  <si>
    <t>How can I make his sissy cock not get hard and shrink even more to clit size? Is there a pill or something?</t>
  </si>
  <si>
    <t>Victoria voxxx</t>
  </si>
  <si>
    <t>A few of my favorite wedgie moments</t>
  </si>
  <si>
    <t xml:space="preserve">I never get tired of cramming his dick into the little flat cage. It's just so satisfying watching it disappear. Bye bye dick </t>
  </si>
  <si>
    <t>Time to make his clit disappear, permanently.</t>
  </si>
  <si>
    <t xml:space="preserve">I was nice enough to let him play with his pocket pussy but I don't think it works with the inverted cage </t>
  </si>
  <si>
    <t>Unlocked for teasing, and then promptly squished back. 😈 Story inside</t>
  </si>
  <si>
    <t>I told him after his shower it was time to lock back up, and this time its permanent</t>
  </si>
  <si>
    <t>Eve x Bayonetta x 2B (mikamipinup)</t>
  </si>
  <si>
    <t>Throat training on the ThroatMaster 2! 10kg weight pulling me on the dildo, a limiter on the rope so I can't ever pull the dildo out of my mouth, a clicker under the dildo for me to hit depth every time for it to count and 363 strokes! My feet and butt also got caned for motivation!</t>
  </si>
  <si>
    <t>Everytime I get spanked I'm also hooked to keep my posture proper, also when I clench up, my butthole gets pulled on</t>
  </si>
  <si>
    <t>AnaKatana - Thoroughly Used and Loving It!</t>
  </si>
  <si>
    <t>Getting my ass used in a gloryhole for girls</t>
  </si>
  <si>
    <t>A female perspective on 24/7 chastity and FLR</t>
  </si>
  <si>
    <t>Taking a fat knot 12" deep in my pussy</t>
  </si>
  <si>
    <t>Help me give him the worst weekend humanly possible. Looking for ultra-awful ideas. Amateurs need not apply.</t>
  </si>
  <si>
    <t>Femdom Experience, Tips, and Suggestions</t>
  </si>
  <si>
    <t>Humiliating my sissy roommate</t>
  </si>
  <si>
    <t>[OC] Merciless, but that's what a real woman should be like!</t>
  </si>
  <si>
    <t>Best way to use a spiked bra</t>
  </si>
  <si>
    <t>[oc] Would you let her dig into your cock with her razor sharp heels?</t>
  </si>
  <si>
    <t>Eat my thong!!</t>
  </si>
  <si>
    <t>[domme] what should i do to my cockless little slaves balls? Fuck them with my heel or just bust them hard?</t>
  </si>
  <si>
    <t>Oversized weiner, undersized cage, and spikes! Benefits of being a grower not a shower ;)</t>
  </si>
  <si>
    <t>content_source</t>
  </si>
  <si>
    <t>post_title</t>
  </si>
  <si>
    <t>post_body</t>
  </si>
  <si>
    <t>file_name</t>
  </si>
  <si>
    <t>z-user-source</t>
  </si>
  <si>
    <t>z-unknown-stars</t>
  </si>
  <si>
    <t>stand</t>
  </si>
  <si>
    <t>made to suck own tits</t>
  </si>
  <si>
    <t>tit suck</t>
  </si>
  <si>
    <t>hard tied</t>
  </si>
  <si>
    <t>flog,pussy flog</t>
  </si>
  <si>
    <t>pretzel</t>
  </si>
  <si>
    <t>pussy flog in pretzel</t>
  </si>
  <si>
    <t>london river</t>
  </si>
  <si>
    <t>pussy flog, src intimate torment of london river</t>
  </si>
  <si>
    <t>angel smalls</t>
  </si>
  <si>
    <t>y-generic-source</t>
  </si>
  <si>
    <t>anal</t>
  </si>
  <si>
    <t>ass up face down</t>
  </si>
  <si>
    <t>inverted pussy over face</t>
  </si>
  <si>
    <t>rough anal with a tiny woman</t>
  </si>
  <si>
    <t>piv,pick up</t>
  </si>
  <si>
    <t>pick up</t>
  </si>
  <si>
    <t>piper held up and piv</t>
  </si>
  <si>
    <t>pussy eat</t>
  </si>
  <si>
    <t>inverted</t>
  </si>
  <si>
    <t>inverted pussy eat</t>
  </si>
  <si>
    <t>victoriz vox</t>
  </si>
  <si>
    <t>constant pussy flog</t>
  </si>
  <si>
    <t>bayonetta,2b,eve</t>
  </si>
  <si>
    <t>z-text-or-comment</t>
  </si>
  <si>
    <t>NutsNoMore_HeNeverStoodAChance.md</t>
  </si>
  <si>
    <t>NutsNoMore_EveryMarble.md</t>
  </si>
  <si>
    <t>NutsNoMore_TightFit.md</t>
  </si>
  <si>
    <t>NutsNoMore_BetaSeed.md</t>
  </si>
  <si>
    <t>https://old.reddit.com/r/flr/comments/1smrhz7/men_and_women_in_flr_how_much_have_arguments_and/ogj4g7o/</t>
  </si>
  <si>
    <t>Federal-Reference646</t>
  </si>
  <si>
    <t>dominantGF_TipsAndSuggestions.md</t>
  </si>
  <si>
    <t>NutsNoMore_HeNeverStoodAChance</t>
  </si>
  <si>
    <t>NutsNoMore_NeverReallyFindOut</t>
  </si>
  <si>
    <t>NutsNoMore_HeDoesntNeedDignity</t>
  </si>
  <si>
    <t>hentai,threesome</t>
  </si>
  <si>
    <t>sit</t>
  </si>
  <si>
    <t>top 3 sexiest characters together</t>
  </si>
  <si>
    <t>Ana-Katana_10kg_Merged</t>
  </si>
  <si>
    <t>Ana-Katana_ThroughlyUsed_Merged</t>
  </si>
  <si>
    <t>It's always fun to lock up my cute nerd in chastity</t>
  </si>
  <si>
    <t>https://old.reddit.com/r/chastity/comments/1rmux4z/its_always_fun_to_lock_up_my_cute_nerd_in_chastity/</t>
  </si>
  <si>
    <t>https://www.redgifs.com/watch/fluffyawareblackmamba</t>
  </si>
  <si>
    <t>https://old.reddit.com/r/FemdomCommunity/comments/771l77/femdom_experience_tips_and_suggestions/dojvnbi/</t>
  </si>
  <si>
    <t>https://old.reddit.com/r/flr/comments/1smrhz7/men_and_women_in_flr_how_much_have_arguments_and/ogyrz0z/</t>
  </si>
  <si>
    <t>Yes</t>
  </si>
  <si>
    <t>sorerosygoose</t>
  </si>
  <si>
    <t>enormouslightsalmongyrfalcon</t>
  </si>
  <si>
    <t>motherlyloyalafricanclawedfrog</t>
  </si>
  <si>
    <t>17t0cu8qw4qg1.gif</t>
  </si>
  <si>
    <t>sbiwlp909xj81.gif</t>
  </si>
  <si>
    <t>taqgzqpslqge1.gif</t>
  </si>
  <si>
    <t>curvyturquoisemountainlion</t>
  </si>
  <si>
    <t>jovialtwinrabidsquirrel</t>
  </si>
  <si>
    <t>lavenderrotatingmacropod</t>
  </si>
  <si>
    <t>outlandishimpressivepeacock</t>
  </si>
  <si>
    <t>priceygruesomeasianpiedstarling</t>
  </si>
  <si>
    <t>serenemasculineeasteuropeanshepherd</t>
  </si>
  <si>
    <t>spiritedstalepharaohhound</t>
  </si>
  <si>
    <t>whoppingenergeticturaco</t>
  </si>
  <si>
    <t>grayillegalcoati</t>
  </si>
  <si>
    <t>agitatedvaincaiman</t>
  </si>
  <si>
    <t>aridlastingballoonfish</t>
  </si>
  <si>
    <t>azurenavyblueamericansaddlebred</t>
  </si>
  <si>
    <t>breakablekhakicurlew</t>
  </si>
  <si>
    <t>dimgreyillegalant</t>
  </si>
  <si>
    <t>droopytrainedpipit</t>
  </si>
  <si>
    <t>flawlessstableferret</t>
  </si>
  <si>
    <t>fluffyawareblackmamba</t>
  </si>
  <si>
    <t>foolishweewalleye</t>
  </si>
  <si>
    <t>grandanchoredreptile</t>
  </si>
  <si>
    <t>knownforsakenmink</t>
  </si>
  <si>
    <t>lightslatebluesympatheticworm</t>
  </si>
  <si>
    <t>lopsideddeadlykusimanse</t>
  </si>
  <si>
    <t>miniaturegivinglhasaapso</t>
  </si>
  <si>
    <t>miserableredirukandjijellyfish</t>
  </si>
  <si>
    <t>necessaryoverdueleech</t>
  </si>
  <si>
    <t>niftyunhappyflickertailsquirrel</t>
  </si>
  <si>
    <t>nocturnalgenuinexenarthra</t>
  </si>
  <si>
    <t>nocturnalplayfulredhead</t>
  </si>
  <si>
    <t>orangeredunacceptablehyena</t>
  </si>
  <si>
    <t>parallelsourgrouper</t>
  </si>
  <si>
    <t>plumenlightenedaltiplanochinchillamouse</t>
  </si>
  <si>
    <t>polishedblindsnoutbutterfly</t>
  </si>
  <si>
    <t>politelightgreyheron</t>
  </si>
  <si>
    <t>poshboilingmuskrat</t>
  </si>
  <si>
    <t>pricklyimpressionablesawfish</t>
  </si>
  <si>
    <t>ruddyoilycockroach</t>
  </si>
  <si>
    <t>severalflashywildebeest</t>
  </si>
  <si>
    <t>shoddycoldlowchen</t>
  </si>
  <si>
    <t>staidfoolhardyindigobunting</t>
  </si>
  <si>
    <t>trustingmassivexenurusunicinctus</t>
  </si>
  <si>
    <t>uniformpreviouskitten</t>
  </si>
  <si>
    <t>wavyimpracticalacornweevil</t>
  </si>
  <si>
    <t>affectionatesecretneedletail_noaudio</t>
  </si>
  <si>
    <t>bustlingsweetbushsqueaker_noaudio</t>
  </si>
  <si>
    <t>completedenseayeaye_noaudio</t>
  </si>
  <si>
    <t>deafeninggivingwoollybearcaterpillar_noaudio</t>
  </si>
  <si>
    <t>eagerdrycaimanlizard_noaudio</t>
  </si>
  <si>
    <t>faintmediocresiamesecat_noaudio</t>
  </si>
  <si>
    <t>felineyellowbirdofparadise_noaudio</t>
  </si>
  <si>
    <t>lavenderblushcapitalnabarlek_noaudio</t>
  </si>
  <si>
    <t>regalbusykawala_noaudio</t>
  </si>
  <si>
    <t>secretlightcyanbanteng_noaudio</t>
  </si>
  <si>
    <t>thirstyhospitableharpseal_noaudio</t>
  </si>
  <si>
    <t>kneel</t>
  </si>
  <si>
    <t>doggy</t>
  </si>
  <si>
    <t>oiled,dildo,deepthroat</t>
  </si>
  <si>
    <t>spank,flog,cane,vibrator,dildo,deepthroat</t>
  </si>
  <si>
    <t>doggy,misionary,pretzel</t>
  </si>
  <si>
    <t>guide</t>
  </si>
  <si>
    <t>ana-katana oiled and 10kg weight deepthroat</t>
  </si>
  <si>
    <t>ana-katana oiled and abused</t>
  </si>
  <si>
    <t>lick feet, leashed</t>
  </si>
  <si>
    <t>foot on chastity</t>
  </si>
  <si>
    <t>tampon in chastity</t>
  </si>
  <si>
    <t>guide for maintainence spank</t>
  </si>
  <si>
    <t>high quality guide for erotic femdom play with many tips and suggestions,force cum eat,punish for attitude</t>
  </si>
  <si>
    <t>mentions feminization along with public mention and display of chastity</t>
  </si>
  <si>
    <t>mentions the process of implementation of femdom in their relationship</t>
  </si>
  <si>
    <t>sph,downsize</t>
  </si>
  <si>
    <t>general comment on a marble in chastity video</t>
  </si>
  <si>
    <t>general comment on a foot on chastity video</t>
  </si>
  <si>
    <t>general comment on a tampon in chastity video</t>
  </si>
  <si>
    <t>high quality week long plan for perfect femdom week</t>
  </si>
  <si>
    <t>mindbreak,humiliation,praise,service,domestic service</t>
  </si>
  <si>
    <t>mentions few ideas for household femdom and service</t>
  </si>
  <si>
    <t>mentions few ideas for pain infliction and humiliation</t>
  </si>
  <si>
    <t>mindbreak,butt plug,dog food, food control,hot sauce,cum eat,humiliation</t>
  </si>
  <si>
    <t>findom and lot of domestic service contents and ideas</t>
  </si>
  <si>
    <t>role reversal,gentle femdom,flr</t>
  </si>
  <si>
    <t>asks about the differences, comments are important</t>
  </si>
  <si>
    <t>guide,role reversal,gentle femdom,flr</t>
  </si>
  <si>
    <t>mentions differences and reasons for them</t>
  </si>
  <si>
    <t>tampon,chastity</t>
  </si>
  <si>
    <t>sweet post about real world experience of how to implement chastity 24x7</t>
  </si>
  <si>
    <t>high heels,lingerie,chastity,crossdress,feminize,panties,deepthroat,strapon,peg,spit,piss,degrade,humiliate,cum eat,ruined,edge,pain,painal,spank,whip,cbt,ball kick,ball slap,ice,hot sauce,electric,dog collar,punish,tease,game,service,domestic service service,personal service</t>
  </si>
  <si>
    <t>chastity,service,oral,24x7,inequality,flr</t>
  </si>
  <si>
    <t>service,punished,inequality,flr</t>
  </si>
  <si>
    <t>general comment about how to control the husband in flr</t>
  </si>
  <si>
    <t>ego less flr life described</t>
  </si>
  <si>
    <t>service,punished,spank,paddle,humiliation,inequality,flr</t>
  </si>
  <si>
    <t>general comment about how to punish and abuse the husband in flr</t>
  </si>
  <si>
    <t>story of how sph turned to flr</t>
  </si>
  <si>
    <t>forced feminization,feminization,tattoos,public,public chastity discussion</t>
  </si>
  <si>
    <t>developments in sph to flr story</t>
  </si>
  <si>
    <t>story,sph,humiliation,panties,chastity,flr</t>
  </si>
  <si>
    <t>story,findom,service,domestic service,marriage,inequality,flr</t>
  </si>
  <si>
    <t>story,mindbreak,rope,handcuff,spreader bar,leash,humbler,ball stretcher,ball gag,blindfold,chastity,cane,paddle,nipple clamps,body clothespin,spike wheel,anal hook,butt plug,vibrator,feminization,sissification,humiliation,piss drink,chemical,panties,bra,food control</t>
  </si>
  <si>
    <t>story,sph,humiliation,ball bust,ball slap, ball kick, cbt, ball nerf gun,painal,panties,bra,public,chastity,flr</t>
  </si>
  <si>
    <t>guide,gentle femdom,flr</t>
  </si>
  <si>
    <t>constructive and sweet guide on how to bring flr into the relationship for women</t>
  </si>
  <si>
    <t>story,service</t>
  </si>
  <si>
    <t>asks about the situation of an obedient husband</t>
  </si>
  <si>
    <t>really sexy control and public control contents written, especially the jealous line</t>
  </si>
  <si>
    <t>story,service,control,public,inequality,flr</t>
  </si>
  <si>
    <t>well planned guide for differences between flr,femdom,gentle femdom, and bdsm flavours of it all</t>
  </si>
  <si>
    <t>story,sph,humiliation,panties,cbt,service,measure penis,shrink,bra,strapon,chastity,flr</t>
  </si>
  <si>
    <t>good quality story of how sph turned flr in detailed than previous post</t>
  </si>
  <si>
    <t>guide,femdom,serivce,24x7,flr</t>
  </si>
  <si>
    <t>guide,femdom,control,service,chastity,edge,social expectations,flr</t>
  </si>
  <si>
    <t>good quality guide on how flr is really meant for men,also discusses thet social inflictions of flr</t>
  </si>
  <si>
    <t>story,control,service,edge,butt plug,panties,domestic service,findom,flr</t>
  </si>
  <si>
    <t>deep and realistic flr development,very sexy body and finance control in the last sections</t>
  </si>
  <si>
    <t>missionary</t>
  </si>
  <si>
    <t>high quality close up pussy eat</t>
  </si>
  <si>
    <t>high quality close up pussy eat while wet</t>
  </si>
  <si>
    <t>ass eat,pussy eat</t>
  </si>
  <si>
    <t>sensual pussy eat but not much visible</t>
  </si>
  <si>
    <t>fucking machine,dildo,moan</t>
  </si>
  <si>
    <t>huge dildo on a fucking machine, big knot</t>
  </si>
  <si>
    <t>glory hole,dildo,anal beads,oiled,inflatable butt plug,anal</t>
  </si>
  <si>
    <t>high quality glory hole oiled free use scene with toys</t>
  </si>
  <si>
    <t>panties stretch and hit,anal hook insertion</t>
  </si>
  <si>
    <t>panties slingshot,anal hook,moan</t>
  </si>
  <si>
    <t>compilation,oiled,anal hook,spank,bite gag,panties slingshot</t>
  </si>
  <si>
    <t>anal hook in mouth, red ass cheeks, high quality production</t>
  </si>
  <si>
    <t>doggy,wheel barrow</t>
  </si>
  <si>
    <t>wedgie,pick up,oiled</t>
  </si>
  <si>
    <t>wedgie in standing and suspended,red ass cheeks,oiled, high qualit production</t>
  </si>
  <si>
    <t>chastity,ball bite</t>
  </si>
  <si>
    <t>bite and lick balls in chastity</t>
  </si>
  <si>
    <t>chastity,tease,humiliation</t>
  </si>
  <si>
    <t>lay down</t>
  </si>
  <si>
    <t>pretend unlock to tease</t>
  </si>
  <si>
    <t>stuffs tampons in the cage and puts water on it</t>
  </si>
  <si>
    <t>story,sph,chastity,permachastity,24x7,inequality,flr</t>
  </si>
  <si>
    <t>chastity,tampon,chastity,permachastity,24x7,inequality,flr</t>
  </si>
  <si>
    <t>tampon,water,humiliation,chastity,permachastity,24x7,inequality,flr</t>
  </si>
  <si>
    <t>feet,leash,chastity,permachastity,24x7,inequality,flr</t>
  </si>
  <si>
    <t>humiliation,chastity,permachastity,24x7,inequality,flr</t>
  </si>
  <si>
    <t>tampon,chastity,permachastity,24x7,inequality,flr</t>
  </si>
  <si>
    <t>earbuds,ball slap,vibrator,chastity,permachastity,24x7,inequality,flr</t>
  </si>
  <si>
    <t>earbuds pressed into cage,ball slap after vibrator</t>
  </si>
  <si>
    <t>feminization,pantyhose,panties,lipstick,vibrator,moan,chastity,permachastity,24x7,inequality,flr</t>
  </si>
  <si>
    <t>full body weight onto him and self pleasure</t>
  </si>
  <si>
    <t>chastity,feet,feet on chastity,chastity,permachastity,24x7,inequality,flr</t>
  </si>
  <si>
    <t>piss on chastity,ball torture</t>
  </si>
  <si>
    <t>humiliation,feet,feet on chastity,ball kick,piss,piss on chastity,chastity,permachastity,24x7,inequality,flr</t>
  </si>
  <si>
    <t>chastity,chastity inverted,ball pull</t>
  </si>
  <si>
    <t>stretch balls</t>
  </si>
  <si>
    <t>slap,dildo gag,chastity,permachastity,24x7,inequality,flr</t>
  </si>
  <si>
    <t>dildo placed on face and jerked</t>
  </si>
  <si>
    <t>feminization,sissification,chastity,spikes,bra,ball torture</t>
  </si>
  <si>
    <t>spiky bra on chastity ball and dick</t>
  </si>
  <si>
    <t>flog,spank</t>
  </si>
  <si>
    <t>good audio flog and spank</t>
  </si>
  <si>
    <t>nipple on chastity,chastity,permachastity,24x7,inequality,flr</t>
  </si>
  <si>
    <t>rub nipple on chastity dick</t>
  </si>
  <si>
    <t>chastity,chastity flat,leash,feet,high heels,high heels on chastity,ball bust,cbt</t>
  </si>
  <si>
    <t>black high heel ball bust</t>
  </si>
  <si>
    <t>chastity,inverted chastity,permachastity,feminization,sissification</t>
  </si>
  <si>
    <t>perma locked and sissified</t>
  </si>
  <si>
    <t>feet,high heels,high heels on dick,ball bust,cbt</t>
  </si>
  <si>
    <t>high heels dig into the dick and balls</t>
  </si>
  <si>
    <t>one of the best piss drink with closet humiliation</t>
  </si>
  <si>
    <t>humiliation,feet,kick,piss,piss drink,pussy eat,locked in closet,chastity,permachastity,24x7,inequality,flr</t>
  </si>
  <si>
    <t>feminization,sissification,chastity,spank,leash</t>
  </si>
  <si>
    <t>light spank with chastity and leash</t>
  </si>
  <si>
    <t>sph,food,feet,high heels,high heels on chastity,slap,high heel lick,kick,chastity,permachastity,24x7,inequality,flr</t>
  </si>
  <si>
    <t>high quality food and feet abuse</t>
  </si>
  <si>
    <t>sunbath,control,service,mindbreak,chastity,permachastity,24x7,inequality,flr</t>
  </si>
  <si>
    <t>service sunbath and sunscreen</t>
  </si>
  <si>
    <t>feet,feet on chastity,mindbreak,chastity,permachastity,24x7,inequality,flr</t>
  </si>
  <si>
    <t>latex,marshmellow,feet,high heels,high heels on chastity,chastity,permachastity,24x7,inequality,flr</t>
  </si>
  <si>
    <t>press marshmellow onto chastity with high heels</t>
  </si>
  <si>
    <t>downsize,ball slap,tease,chastity,permachastity,24x7,inequality,flr</t>
  </si>
  <si>
    <t>downsize on camera,ball slap and tease</t>
  </si>
  <si>
    <t>feet,feet on chastity,face sit,piss,piss drink,public,chastity,permachastity,24x7,inequality,flr</t>
  </si>
  <si>
    <t>boat ride and piss drink</t>
  </si>
  <si>
    <t>rub feet on chastity and smell</t>
  </si>
  <si>
    <t>marble,marble in chastity,ball suck,chastity,permachastity,24x7,inequality,flr</t>
  </si>
  <si>
    <t>stuffs marbles in the cage and suck on balls</t>
  </si>
  <si>
    <t>feminization,sissification,chastity,butt plug,balls behind ass,flog,ball flog,cbt,ball bust</t>
  </si>
  <si>
    <t>sissy ball bust with flog</t>
  </si>
  <si>
    <t>ball pull,latex,marshmellow,marshmellow in chastity,lighter,fire,suck on chastity,chastity,permachastity,24x7,inequality,flr</t>
  </si>
  <si>
    <t>high quality marshmellow in chastity with nice tits</t>
  </si>
  <si>
    <t>feet,feet on face,grind on chastity,water,chastity,permachastity,24x7,inequality,flr</t>
  </si>
  <si>
    <t>bath together with chastity fun</t>
  </si>
  <si>
    <t>piss,piss drink,chastity,permachastity,24x7,inequality,flr</t>
  </si>
  <si>
    <t>bottle piss drink</t>
  </si>
  <si>
    <t>pantyhose,feminization,maid,ball slap,strapon,chastity,permachastity,24x7,inequality,flr</t>
  </si>
  <si>
    <t>ball slap in panty hose</t>
  </si>
  <si>
    <t>chastity,chastity flat,humiliation,sph,chastity put on</t>
  </si>
  <si>
    <t>process of putting chastity along with humiliation</t>
  </si>
  <si>
    <t>panties,chastity,slap</t>
  </si>
  <si>
    <t>force fed panties and slap</t>
  </si>
  <si>
    <t>strapon,peg,ball pull,chastity</t>
  </si>
  <si>
    <t>pull balls when peg</t>
  </si>
  <si>
    <t>feet,high heels,high heels on chastity,ball slap,ball bust,cbt,chastity,permachastity,24x7,inequality,flr</t>
  </si>
  <si>
    <t>ball abuse with tight cage and rubber band</t>
  </si>
  <si>
    <t>face sit,chastity,permachastity,24x7,inequality,flr</t>
  </si>
  <si>
    <t>basic face sit</t>
  </si>
  <si>
    <t>inverted chastity put on,pocket pussy tease</t>
  </si>
  <si>
    <t>chastity,chastity inverted,humiliation,sph,chastity put on,pocket pussy,tease</t>
  </si>
  <si>
    <t>chastity,chastity put on,feminization</t>
  </si>
  <si>
    <t>chastity cage put on camera</t>
  </si>
  <si>
    <t>latex,mummy,feet,feet on chastity,strapon,sensory deprivation</t>
  </si>
  <si>
    <t>sensory deprivation latex suit with balls out and stepped on</t>
  </si>
  <si>
    <t>chastity,cane</t>
  </si>
  <si>
    <t>cane to make strips on ass</t>
  </si>
  <si>
    <t>ball kick,cbt,ball bust,chastity,permachastity,24x7,inequality,flr</t>
  </si>
  <si>
    <t>ball kick and roll</t>
  </si>
  <si>
    <t>over the knee</t>
  </si>
  <si>
    <t>over the knee play time</t>
  </si>
  <si>
    <t>spank,feminization,sissification,oiled,fingering,dick behind ass,vibrator,dildo</t>
  </si>
  <si>
    <t>chastity,handjob,oiled,oiled handjob,dick slap,edge,tits,chastity put on</t>
  </si>
  <si>
    <t>good quality oiled handjob with relock chastity</t>
  </si>
  <si>
    <t>step on balls</t>
  </si>
  <si>
    <t>feet,high heels,high heels on chastity,cbt,chastity,permachastity,24x7,inequality,flr</t>
  </si>
  <si>
    <t>anal beads,feminization,chastity,butt plug</t>
  </si>
  <si>
    <t>anal beads pushed into ass</t>
  </si>
  <si>
    <t>chastity,chastity flat,rubber band,stump,humiliation,vibrator,dick slap,ball slap</t>
  </si>
  <si>
    <t>locked with thread inside chastity cage</t>
  </si>
  <si>
    <t>YUser_AwfulWeekend.md</t>
  </si>
  <si>
    <t>YUser_DatedMillionaires.md</t>
  </si>
  <si>
    <t>YUser_DifferenceBetweenRRGFDFLR.md</t>
  </si>
  <si>
    <t>YUser_EveBayonetta2B_Merged</t>
  </si>
  <si>
    <t>YUser_FemalePerspective24X7.md</t>
  </si>
  <si>
    <t>YUser_FightsAndArguments.md</t>
  </si>
  <si>
    <t>YUser_GoThisFar.md</t>
  </si>
  <si>
    <t>YUser_GuideForWomen.md</t>
  </si>
  <si>
    <t>YUser_HusbandButler.md</t>
  </si>
  <si>
    <t>YUser_KeyDifferences.md</t>
  </si>
  <si>
    <t>YUser_LedToFLR.md</t>
  </si>
  <si>
    <t>YUser_Maintainence_Merged</t>
  </si>
  <si>
    <t>YUser_MaleThoughts.md</t>
  </si>
  <si>
    <t>YUser_OurFLRWith.md</t>
  </si>
  <si>
    <t>noaudio</t>
  </si>
  <si>
    <t>No</t>
  </si>
  <si>
    <t>https://old.reddit.com/r/gagged/comments/1ufw8tc/is_it_always_sexier_with_a_gag/</t>
  </si>
  <si>
    <t>https://old.reddit.com/r/BdsmNoRestriction/comments/1ugbc3e/i_exist_to_be_used/</t>
  </si>
  <si>
    <t>https://old.reddit.com/r/FemdomHumiliation/comments/1qova4c/oc_every_sissy_needs_a_busty_goth_girlfriend_to/</t>
  </si>
  <si>
    <t>https://www.redgifs.com/watch/coordinatedscalypachyderm</t>
  </si>
  <si>
    <t>https://www.redgifs.com/watch/firebrickimmaculatecottontail</t>
  </si>
  <si>
    <t>https://www.redgifs.com/watch/neighboringnegligibleanaconda</t>
  </si>
  <si>
    <t>Ninlone70</t>
  </si>
  <si>
    <t>PoppynZach</t>
  </si>
  <si>
    <t>gagged</t>
  </si>
  <si>
    <t>bdsm-soft-maledom</t>
  </si>
  <si>
    <t>Is it always sexier with a gag?</t>
  </si>
  <si>
    <t>I exist to be used</t>
  </si>
  <si>
    <t>[oc] Every sissy needs a busty goth girlfriend to lock his pp in chastity and put him in his place.</t>
  </si>
  <si>
    <t>ball gag,armpits,cute</t>
  </si>
  <si>
    <t>bouncing tits with ball gag and armpits</t>
  </si>
  <si>
    <t>leash,bikini,slap,blowjob,cute</t>
  </si>
  <si>
    <t>sexy red bikini blowjob</t>
  </si>
  <si>
    <t>neighboringnegligibleanaconda</t>
  </si>
  <si>
    <t>chastity,feminization,sissification,chastity put on</t>
  </si>
  <si>
    <t>now deleted gif, but insanely hot put on scene</t>
  </si>
  <si>
    <t>firebrickimmaculatecottontail</t>
  </si>
  <si>
    <t>coordinatedscalypachyderm</t>
  </si>
  <si>
    <t>NutsNoMore_BetaSeed</t>
  </si>
  <si>
    <t>isDel</t>
  </si>
  <si>
    <t>done, pending</t>
  </si>
  <si>
    <t>gif,text,img</t>
  </si>
  <si>
    <t>reddit link</t>
  </si>
  <si>
    <t>subreddit name</t>
  </si>
  <si>
    <t>professional studio name,z-user-source (if ameture user uploaded), y-generic-source (professional but not very well known)</t>
  </si>
  <si>
    <t>username of the uploader</t>
  </si>
  <si>
    <t>username of the uploader(if ameture), name of an actual well known star,z-unknown-star (if not ameture but not very well known star)</t>
  </si>
  <si>
    <t>title of the post</t>
  </si>
  <si>
    <t>name of text post.md (if text that too after download and setting a .md file name), z-not-applicable (if gif or img)</t>
  </si>
  <si>
    <t>refer to chart titled : core_cat</t>
  </si>
  <si>
    <t>comma seperated indicator which tell more about the post</t>
  </si>
  <si>
    <t>physical positions of the people in the said post (if gif or img), z-text-or-comment (if text)</t>
  </si>
  <si>
    <t>language of the post (mostly english only)</t>
  </si>
  <si>
    <t>rating out of 10</t>
  </si>
  <si>
    <t>long string like contents to describe the post,something like a synopsis</t>
  </si>
  <si>
    <t>reddit link converted to actual small website domain</t>
  </si>
  <si>
    <t>site link converted to actual small website domain</t>
  </si>
  <si>
    <t>file name (if yes for downloaded), z-not-applicable (if no for downloaded)</t>
  </si>
  <si>
    <t>decides if the post has been unsaved from the reddit account</t>
  </si>
  <si>
    <t>notes (any modifications made to the download), z-not-applicable (if no note is present)</t>
  </si>
  <si>
    <t>redgifs,reddit.i or z-text-or-comment (if text or comment)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</si>
</sst>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96F4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E096F4"/>
      </font>
    </dxf>
    <dxf>
      <font>
        <color rgb="FFFF99FF"/>
      </font>
    </dxf>
    <dxf>
      <fill>
        <patternFill>
          <bgColor theme="1" tint="4.9989318521683403E-2"/>
        </patternFill>
      </fill>
    </dxf>
    <dxf>
      <fill>
        <patternFill patternType="darkTrellis">
          <bgColor rgb="FFFF0000"/>
        </patternFill>
      </fill>
    </dxf>
  </dxfs>
  <tableStyles count="0" defaultTableStyle="TableStyleMedium2" defaultPivotStyle="PivotStyleLight16"/>
  <colors>
    <mruColors>
      <color rgb="FFFF99FF"/>
      <color rgb="FFE096F4"/>
      <color rgb="FFFF6161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dgifs.com/watch/neighboringnegligibleanacond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93B7-B882-48B2-AAF6-D1E0B3702CB8}">
  <dimension ref="A1:V95"/>
  <sheetViews>
    <sheetView tabSelected="1" zoomScale="55" zoomScaleNormal="55" workbookViewId="0">
      <pane ySplit="1" topLeftCell="A10" activePane="bottomLeft" state="frozen"/>
      <selection pane="bottomLeft" activeCell="I13" sqref="I13"/>
    </sheetView>
  </sheetViews>
  <sheetFormatPr defaultRowHeight="15" x14ac:dyDescent="0.25"/>
  <cols>
    <col min="1" max="1" width="12.85546875" style="3" customWidth="1"/>
    <col min="2" max="2" width="14.7109375" style="3" bestFit="1" customWidth="1"/>
    <col min="3" max="4" width="46.28515625" style="3" customWidth="1"/>
    <col min="5" max="5" width="26.28515625" style="3" bestFit="1" customWidth="1"/>
    <col min="6" max="6" width="15.85546875" style="3" bestFit="1" customWidth="1"/>
    <col min="7" max="7" width="29.28515625" style="3" bestFit="1" customWidth="1"/>
    <col min="8" max="8" width="15.7109375" style="3" customWidth="1"/>
    <col min="9" max="9" width="53" style="3" customWidth="1"/>
    <col min="10" max="10" width="45.140625" style="3" customWidth="1"/>
    <col min="11" max="11" width="21.5703125" style="3" customWidth="1"/>
    <col min="12" max="12" width="58" style="3" customWidth="1"/>
    <col min="13" max="14" width="21.5703125" style="3" customWidth="1"/>
    <col min="15" max="15" width="10.5703125" style="3" bestFit="1" customWidth="1"/>
    <col min="16" max="16" width="53.5703125" style="3" bestFit="1" customWidth="1"/>
    <col min="17" max="17" width="24.28515625" style="3" bestFit="1" customWidth="1"/>
    <col min="18" max="18" width="24.28515625" style="3" customWidth="1"/>
    <col min="19" max="19" width="18.140625" style="3" bestFit="1" customWidth="1"/>
    <col min="20" max="20" width="37.5703125" style="3" customWidth="1"/>
    <col min="21" max="21" width="32.7109375" style="3" customWidth="1"/>
    <col min="22" max="16384" width="9.140625" style="3"/>
  </cols>
  <sheetData>
    <row r="1" spans="1:22" s="2" customFormat="1" x14ac:dyDescent="0.25">
      <c r="A1" s="1" t="s">
        <v>21</v>
      </c>
      <c r="B1" s="1" t="s">
        <v>31</v>
      </c>
      <c r="C1" s="1" t="s">
        <v>39</v>
      </c>
      <c r="D1" s="1" t="s">
        <v>38</v>
      </c>
      <c r="E1" s="1" t="s">
        <v>275</v>
      </c>
      <c r="F1" s="1" t="s">
        <v>32</v>
      </c>
      <c r="G1" s="1" t="s">
        <v>385</v>
      </c>
      <c r="H1" s="1" t="s">
        <v>68</v>
      </c>
      <c r="I1" s="1" t="s">
        <v>386</v>
      </c>
      <c r="J1" s="1" t="s">
        <v>387</v>
      </c>
      <c r="K1" s="1" t="s">
        <v>2</v>
      </c>
      <c r="L1" s="1" t="s">
        <v>22</v>
      </c>
      <c r="M1" s="1" t="s">
        <v>23</v>
      </c>
      <c r="N1" s="1" t="s">
        <v>1</v>
      </c>
      <c r="O1" s="1" t="s">
        <v>5</v>
      </c>
      <c r="P1" s="1" t="s">
        <v>4</v>
      </c>
      <c r="Q1" s="1" t="s">
        <v>49</v>
      </c>
      <c r="R1" s="1" t="s">
        <v>50</v>
      </c>
      <c r="S1" s="1" t="s">
        <v>26</v>
      </c>
      <c r="T1" s="1" t="s">
        <v>388</v>
      </c>
      <c r="U1" s="1" t="s">
        <v>27</v>
      </c>
      <c r="V1" s="1" t="s">
        <v>704</v>
      </c>
    </row>
    <row r="2" spans="1:22" s="2" customFormat="1" ht="45" x14ac:dyDescent="0.25">
      <c r="A2" s="1" t="str">
        <f t="shared" ref="A2:A33" si="0">IF(ISBLANK(N2)=TRUE,"Pending","Done")</f>
        <v>Done</v>
      </c>
      <c r="B2" s="1" t="s">
        <v>70</v>
      </c>
      <c r="C2" s="1" t="s">
        <v>148</v>
      </c>
      <c r="D2" s="1" t="s">
        <v>218</v>
      </c>
      <c r="E2" s="1" t="s">
        <v>300</v>
      </c>
      <c r="F2" s="1" t="s">
        <v>73</v>
      </c>
      <c r="G2" s="1" t="s">
        <v>389</v>
      </c>
      <c r="H2" s="1" t="s">
        <v>73</v>
      </c>
      <c r="I2" s="1" t="s">
        <v>371</v>
      </c>
      <c r="J2" s="1" t="s">
        <v>30</v>
      </c>
      <c r="K2" s="1" t="s">
        <v>7</v>
      </c>
      <c r="L2" s="1" t="s">
        <v>566</v>
      </c>
      <c r="M2" s="1" t="s">
        <v>568</v>
      </c>
      <c r="N2" s="1" t="s">
        <v>3</v>
      </c>
      <c r="O2" s="1">
        <v>8</v>
      </c>
      <c r="P2" s="1" t="s">
        <v>567</v>
      </c>
      <c r="Q2" s="1" t="str" cm="1">
        <f t="array" ref="Q2">_xlfn.REGEXEXTRACT(C2,"(?&lt;=//)[^/]+")</f>
        <v>old.reddit.com</v>
      </c>
      <c r="R2" s="1" t="str" cm="1">
        <f t="array" ref="R2">IF(D2&lt;&gt;"z-text-or-comment",_xlfn.REGEXEXTRACT(D2,"(?&lt;=//)[^/]+"),"z-text-or-comment")</f>
        <v>www.redgifs.com</v>
      </c>
      <c r="S2" s="1" t="s">
        <v>436</v>
      </c>
      <c r="T2" s="1" t="s">
        <v>478</v>
      </c>
      <c r="U2" s="1" t="s">
        <v>30</v>
      </c>
      <c r="V2" s="1" t="s">
        <v>680</v>
      </c>
    </row>
    <row r="3" spans="1:22" s="2" customFormat="1" ht="30" x14ac:dyDescent="0.25">
      <c r="A3" s="1" t="str">
        <f t="shared" si="0"/>
        <v>Done</v>
      </c>
      <c r="B3" s="1" t="s">
        <v>70</v>
      </c>
      <c r="C3" s="1" t="s">
        <v>120</v>
      </c>
      <c r="D3" s="1" t="s">
        <v>192</v>
      </c>
      <c r="E3" s="1" t="s">
        <v>284</v>
      </c>
      <c r="F3" s="1" t="s">
        <v>242</v>
      </c>
      <c r="G3" s="1" t="s">
        <v>401</v>
      </c>
      <c r="H3" s="1" t="s">
        <v>390</v>
      </c>
      <c r="I3" s="1" t="s">
        <v>343</v>
      </c>
      <c r="J3" s="1" t="s">
        <v>30</v>
      </c>
      <c r="K3" s="1" t="s">
        <v>20</v>
      </c>
      <c r="L3" s="1" t="s">
        <v>558</v>
      </c>
      <c r="M3" s="1">
        <v>69</v>
      </c>
      <c r="N3" s="1" t="s">
        <v>3</v>
      </c>
      <c r="O3" s="1">
        <v>7</v>
      </c>
      <c r="P3" s="1" t="s">
        <v>559</v>
      </c>
      <c r="Q3" s="1" t="str" cm="1">
        <f t="array" ref="Q3">_xlfn.REGEXEXTRACT(C3,"(?&lt;=//)[^/]+")</f>
        <v>old.reddit.com</v>
      </c>
      <c r="R3" s="1" t="str" cm="1">
        <f t="array" ref="R3">IF(D3&lt;&gt;"z-text-or-comment",_xlfn.REGEXEXTRACT(D3,"(?&lt;=//)[^/]+"),"z-text-or-comment")</f>
        <v>www.redgifs.com</v>
      </c>
      <c r="S3" s="1" t="s">
        <v>436</v>
      </c>
      <c r="T3" s="1" t="s">
        <v>482</v>
      </c>
      <c r="U3" s="1" t="s">
        <v>30</v>
      </c>
      <c r="V3" s="1" t="s">
        <v>680</v>
      </c>
    </row>
    <row r="4" spans="1:22" s="2" customFormat="1" ht="30" x14ac:dyDescent="0.25">
      <c r="A4" s="1" t="str">
        <f t="shared" si="0"/>
        <v>Done</v>
      </c>
      <c r="B4" s="1" t="s">
        <v>70</v>
      </c>
      <c r="C4" s="1" t="s">
        <v>139</v>
      </c>
      <c r="D4" s="1" t="s">
        <v>209</v>
      </c>
      <c r="E4" s="1" t="s">
        <v>10</v>
      </c>
      <c r="F4" s="1" t="s">
        <v>258</v>
      </c>
      <c r="G4" s="1" t="s">
        <v>401</v>
      </c>
      <c r="H4" s="1" t="s">
        <v>412</v>
      </c>
      <c r="I4" s="1" t="s">
        <v>362</v>
      </c>
      <c r="J4" s="1" t="s">
        <v>30</v>
      </c>
      <c r="K4" s="1" t="s">
        <v>7</v>
      </c>
      <c r="L4" s="1" t="s">
        <v>395</v>
      </c>
      <c r="M4" s="1" t="s">
        <v>396</v>
      </c>
      <c r="N4" s="1" t="s">
        <v>3</v>
      </c>
      <c r="O4" s="1">
        <v>6</v>
      </c>
      <c r="P4" s="1" t="s">
        <v>413</v>
      </c>
      <c r="Q4" s="1" t="str" cm="1">
        <f t="array" ref="Q4">_xlfn.REGEXEXTRACT(C4,"(?&lt;=//)[^/]+")</f>
        <v>old.reddit.com</v>
      </c>
      <c r="R4" s="1" t="str" cm="1">
        <f t="array" ref="R4">IF(D4&lt;&gt;"z-text-or-comment",_xlfn.REGEXEXTRACT(D4,"(?&lt;=//)[^/]+"),"z-text-or-comment")</f>
        <v>www.redgifs.com</v>
      </c>
      <c r="S4" s="1" t="s">
        <v>436</v>
      </c>
      <c r="T4" s="1" t="s">
        <v>455</v>
      </c>
      <c r="U4" s="1" t="s">
        <v>30</v>
      </c>
      <c r="V4" s="1" t="s">
        <v>680</v>
      </c>
    </row>
    <row r="5" spans="1:22" s="2" customFormat="1" ht="45" x14ac:dyDescent="0.25">
      <c r="A5" s="1" t="str">
        <f t="shared" si="0"/>
        <v>Done</v>
      </c>
      <c r="B5" s="1" t="s">
        <v>70</v>
      </c>
      <c r="C5" s="1" t="s">
        <v>136</v>
      </c>
      <c r="D5" s="1" t="s">
        <v>206</v>
      </c>
      <c r="E5" s="1" t="s">
        <v>295</v>
      </c>
      <c r="F5" s="1" t="s">
        <v>73</v>
      </c>
      <c r="G5" s="1" t="s">
        <v>389</v>
      </c>
      <c r="H5" s="1" t="s">
        <v>73</v>
      </c>
      <c r="I5" s="1" t="s">
        <v>359</v>
      </c>
      <c r="J5" s="1" t="s">
        <v>30</v>
      </c>
      <c r="K5" s="1" t="s">
        <v>7</v>
      </c>
      <c r="L5" s="1" t="s">
        <v>565</v>
      </c>
      <c r="M5" s="1" t="s">
        <v>497</v>
      </c>
      <c r="N5" s="1" t="s">
        <v>3</v>
      </c>
      <c r="O5" s="1">
        <v>4</v>
      </c>
      <c r="P5" s="1" t="s">
        <v>564</v>
      </c>
      <c r="Q5" s="1" t="str" cm="1">
        <f t="array" ref="Q5">_xlfn.REGEXEXTRACT(C5,"(?&lt;=//)[^/]+")</f>
        <v>old.reddit.com</v>
      </c>
      <c r="R5" s="1" t="str" cm="1">
        <f t="array" ref="R5">IF(D5&lt;&gt;"z-text-or-comment",_xlfn.REGEXEXTRACT(D5,"(?&lt;=//)[^/]+"),"z-text-or-comment")</f>
        <v>www.redgifs.com</v>
      </c>
      <c r="S5" s="1" t="s">
        <v>436</v>
      </c>
      <c r="T5" s="1" t="s">
        <v>476</v>
      </c>
      <c r="U5" s="1" t="s">
        <v>30</v>
      </c>
      <c r="V5" s="1" t="s">
        <v>680</v>
      </c>
    </row>
    <row r="6" spans="1:22" s="2" customFormat="1" ht="45" x14ac:dyDescent="0.25">
      <c r="A6" s="1" t="str">
        <f t="shared" si="0"/>
        <v>Done</v>
      </c>
      <c r="B6" s="1" t="s">
        <v>70</v>
      </c>
      <c r="C6" s="1" t="s">
        <v>115</v>
      </c>
      <c r="D6" s="1" t="s">
        <v>191</v>
      </c>
      <c r="E6" s="1" t="s">
        <v>283</v>
      </c>
      <c r="F6" s="1" t="s">
        <v>238</v>
      </c>
      <c r="G6" s="1" t="s">
        <v>28</v>
      </c>
      <c r="H6" s="1" t="s">
        <v>239</v>
      </c>
      <c r="I6" s="1" t="s">
        <v>339</v>
      </c>
      <c r="J6" s="1" t="s">
        <v>30</v>
      </c>
      <c r="K6" s="1" t="s">
        <v>7</v>
      </c>
      <c r="L6" s="1" t="s">
        <v>393</v>
      </c>
      <c r="M6" s="1" t="s">
        <v>391</v>
      </c>
      <c r="N6" s="1" t="s">
        <v>3</v>
      </c>
      <c r="O6" s="1">
        <v>5</v>
      </c>
      <c r="P6" s="1" t="s">
        <v>392</v>
      </c>
      <c r="Q6" s="1" t="str" cm="1">
        <f t="array" ref="Q6">_xlfn.REGEXEXTRACT(C6,"(?&lt;=//)[^/]+")</f>
        <v>old.reddit.com</v>
      </c>
      <c r="R6" s="1" t="str" cm="1">
        <f t="array" ref="R6">IF(D6&lt;&gt;"z-text-or-comment",_xlfn.REGEXEXTRACT(D6,"(?&lt;=//)[^/]+"),"z-text-or-comment")</f>
        <v>www.redgifs.com</v>
      </c>
      <c r="S6" s="1" t="s">
        <v>436</v>
      </c>
      <c r="T6" s="1" t="s">
        <v>469</v>
      </c>
      <c r="U6" s="1" t="s">
        <v>30</v>
      </c>
      <c r="V6" s="1" t="s">
        <v>680</v>
      </c>
    </row>
    <row r="7" spans="1:22" ht="30" x14ac:dyDescent="0.25">
      <c r="A7" s="1" t="str">
        <f t="shared" si="0"/>
        <v>Done</v>
      </c>
      <c r="B7" s="1" t="s">
        <v>70</v>
      </c>
      <c r="C7" s="1" t="s">
        <v>682</v>
      </c>
      <c r="D7" s="1" t="s">
        <v>685</v>
      </c>
      <c r="E7" s="1" t="s">
        <v>283</v>
      </c>
      <c r="F7" s="1" t="s">
        <v>688</v>
      </c>
      <c r="G7" s="1" t="s">
        <v>389</v>
      </c>
      <c r="H7" s="1" t="s">
        <v>688</v>
      </c>
      <c r="I7" s="1" t="s">
        <v>692</v>
      </c>
      <c r="J7" s="1" t="s">
        <v>30</v>
      </c>
      <c r="K7" s="1" t="s">
        <v>690</v>
      </c>
      <c r="L7" s="1" t="s">
        <v>696</v>
      </c>
      <c r="M7" s="1" t="s">
        <v>496</v>
      </c>
      <c r="N7" s="1" t="s">
        <v>3</v>
      </c>
      <c r="O7" s="1">
        <v>4</v>
      </c>
      <c r="P7" s="1" t="s">
        <v>697</v>
      </c>
      <c r="Q7" s="1" t="str" cm="1">
        <f t="array" ref="Q7">_xlfn.REGEXEXTRACT(C7,"(?&lt;=//)[^/]+")</f>
        <v>old.reddit.com</v>
      </c>
      <c r="R7" s="1" t="str" cm="1">
        <f t="array" ref="R7">IF(D7&lt;&gt;"z-text-or-comment",_xlfn.REGEXEXTRACT(D7,"(?&lt;=//)[^/]+"),"z-text-or-comment")</f>
        <v>www.redgifs.com</v>
      </c>
      <c r="S7" s="1" t="s">
        <v>436</v>
      </c>
      <c r="T7" s="1" t="s">
        <v>701</v>
      </c>
      <c r="U7" s="1" t="s">
        <v>30</v>
      </c>
      <c r="V7" s="1" t="s">
        <v>680</v>
      </c>
    </row>
    <row r="8" spans="1:22" ht="45" x14ac:dyDescent="0.25">
      <c r="A8" s="1" t="str">
        <f t="shared" si="0"/>
        <v>Done</v>
      </c>
      <c r="B8" s="1" t="s">
        <v>70</v>
      </c>
      <c r="C8" s="1" t="s">
        <v>122</v>
      </c>
      <c r="D8" s="1" t="s">
        <v>194</v>
      </c>
      <c r="E8" s="1" t="s">
        <v>286</v>
      </c>
      <c r="F8" s="1" t="s">
        <v>244</v>
      </c>
      <c r="G8" s="1" t="s">
        <v>394</v>
      </c>
      <c r="H8" s="1" t="s">
        <v>390</v>
      </c>
      <c r="I8" s="1" t="s">
        <v>345</v>
      </c>
      <c r="J8" s="1" t="s">
        <v>30</v>
      </c>
      <c r="K8" s="1" t="s">
        <v>7</v>
      </c>
      <c r="L8" s="1" t="s">
        <v>395</v>
      </c>
      <c r="M8" s="1" t="s">
        <v>396</v>
      </c>
      <c r="N8" s="1" t="s">
        <v>3</v>
      </c>
      <c r="O8" s="1">
        <v>5</v>
      </c>
      <c r="P8" s="1" t="s">
        <v>397</v>
      </c>
      <c r="Q8" s="1" t="str" cm="1">
        <f t="array" ref="Q8">_xlfn.REGEXEXTRACT(C8,"(?&lt;=//)[^/]+")</f>
        <v>old.reddit.com</v>
      </c>
      <c r="R8" s="1" t="str" cm="1">
        <f t="array" ref="R8">IF(D8&lt;&gt;"z-text-or-comment",_xlfn.REGEXEXTRACT(D8,"(?&lt;=//)[^/]+"),"z-text-or-comment")</f>
        <v>www.redgifs.com</v>
      </c>
      <c r="S8" s="1" t="s">
        <v>436</v>
      </c>
      <c r="T8" s="1" t="s">
        <v>466</v>
      </c>
      <c r="U8" s="1" t="s">
        <v>30</v>
      </c>
      <c r="V8" s="1" t="s">
        <v>680</v>
      </c>
    </row>
    <row r="9" spans="1:22" ht="45" x14ac:dyDescent="0.25">
      <c r="A9" s="1" t="str">
        <f t="shared" si="0"/>
        <v>Done</v>
      </c>
      <c r="B9" s="1" t="s">
        <v>70</v>
      </c>
      <c r="C9" s="1" t="s">
        <v>130</v>
      </c>
      <c r="D9" s="1" t="s">
        <v>201</v>
      </c>
      <c r="E9" s="1" t="s">
        <v>292</v>
      </c>
      <c r="F9" s="1" t="s">
        <v>250</v>
      </c>
      <c r="G9" s="1" t="s">
        <v>389</v>
      </c>
      <c r="H9" s="1" t="s">
        <v>250</v>
      </c>
      <c r="I9" s="1" t="s">
        <v>353</v>
      </c>
      <c r="J9" s="1" t="s">
        <v>30</v>
      </c>
      <c r="K9" s="1" t="s">
        <v>9</v>
      </c>
      <c r="L9" s="1" t="s">
        <v>638</v>
      </c>
      <c r="M9" s="1" t="s">
        <v>497</v>
      </c>
      <c r="N9" s="1" t="s">
        <v>3</v>
      </c>
      <c r="O9" s="1">
        <v>8</v>
      </c>
      <c r="P9" s="1" t="s">
        <v>639</v>
      </c>
      <c r="Q9" s="1" t="str" cm="1">
        <f t="array" ref="Q9">_xlfn.REGEXEXTRACT(C9,"(?&lt;=//)[^/]+")</f>
        <v>old.reddit.com</v>
      </c>
      <c r="R9" s="1" t="str" cm="1">
        <f t="array" ref="R9">IF(D9&lt;&gt;"z-text-or-comment",_xlfn.REGEXEXTRACT(D9,"(?&lt;=//)[^/]+"),"z-text-or-comment")</f>
        <v>www.redgifs.com</v>
      </c>
      <c r="S9" s="1" t="s">
        <v>436</v>
      </c>
      <c r="T9" s="1" t="s">
        <v>474</v>
      </c>
      <c r="U9" s="1" t="s">
        <v>30</v>
      </c>
      <c r="V9" s="1" t="s">
        <v>680</v>
      </c>
    </row>
    <row r="10" spans="1:22" ht="45" x14ac:dyDescent="0.25">
      <c r="A10" s="1" t="str">
        <f t="shared" si="0"/>
        <v>Done</v>
      </c>
      <c r="B10" s="1" t="s">
        <v>70</v>
      </c>
      <c r="C10" s="1" t="s">
        <v>138</v>
      </c>
      <c r="D10" s="1" t="s">
        <v>208</v>
      </c>
      <c r="E10" s="1" t="s">
        <v>278</v>
      </c>
      <c r="F10" s="1" t="s">
        <v>257</v>
      </c>
      <c r="G10" s="1" t="s">
        <v>389</v>
      </c>
      <c r="H10" s="1" t="s">
        <v>257</v>
      </c>
      <c r="I10" s="1" t="s">
        <v>361</v>
      </c>
      <c r="J10" s="1" t="s">
        <v>30</v>
      </c>
      <c r="K10" s="1" t="s">
        <v>9</v>
      </c>
      <c r="L10" s="1" t="s">
        <v>590</v>
      </c>
      <c r="M10" s="1" t="s">
        <v>427</v>
      </c>
      <c r="N10" s="1" t="s">
        <v>3</v>
      </c>
      <c r="O10" s="1">
        <v>4</v>
      </c>
      <c r="P10" s="1" t="s">
        <v>591</v>
      </c>
      <c r="Q10" s="1" t="str" cm="1">
        <f t="array" ref="Q10">_xlfn.REGEXEXTRACT(C10,"(?&lt;=//)[^/]+")</f>
        <v>old.reddit.com</v>
      </c>
      <c r="R10" s="1" t="str" cm="1">
        <f t="array" ref="R10">IF(D10&lt;&gt;"z-text-or-comment",_xlfn.REGEXEXTRACT(D10,"(?&lt;=//)[^/]+"),"z-text-or-comment")</f>
        <v>www.redgifs.com</v>
      </c>
      <c r="S10" s="1" t="s">
        <v>436</v>
      </c>
      <c r="T10" s="1" t="s">
        <v>487</v>
      </c>
      <c r="U10" s="1" t="s">
        <v>679</v>
      </c>
      <c r="V10" s="1" t="s">
        <v>680</v>
      </c>
    </row>
    <row r="11" spans="1:22" ht="45" x14ac:dyDescent="0.25">
      <c r="A11" s="1" t="str">
        <f t="shared" si="0"/>
        <v>Done</v>
      </c>
      <c r="B11" s="1" t="s">
        <v>70</v>
      </c>
      <c r="C11" s="1" t="s">
        <v>145</v>
      </c>
      <c r="D11" s="1" t="s">
        <v>215</v>
      </c>
      <c r="E11" s="1" t="s">
        <v>278</v>
      </c>
      <c r="F11" s="1" t="s">
        <v>76</v>
      </c>
      <c r="G11" s="1" t="s">
        <v>389</v>
      </c>
      <c r="H11" s="1" t="s">
        <v>76</v>
      </c>
      <c r="I11" s="1" t="s">
        <v>368</v>
      </c>
      <c r="J11" s="1" t="s">
        <v>30</v>
      </c>
      <c r="K11" s="1" t="s">
        <v>9</v>
      </c>
      <c r="L11" s="1" t="s">
        <v>646</v>
      </c>
      <c r="M11" s="1" t="s">
        <v>427</v>
      </c>
      <c r="N11" s="1" t="s">
        <v>3</v>
      </c>
      <c r="O11" s="1">
        <v>7</v>
      </c>
      <c r="P11" s="1" t="s">
        <v>647</v>
      </c>
      <c r="Q11" s="1" t="str" cm="1">
        <f t="array" ref="Q11">_xlfn.REGEXEXTRACT(C11,"(?&lt;=//)[^/]+")</f>
        <v>old.reddit.com</v>
      </c>
      <c r="R11" s="1" t="str" cm="1">
        <f t="array" ref="R11">IF(D11&lt;&gt;"z-text-or-comment",_xlfn.REGEXEXTRACT(D11,"(?&lt;=//)[^/]+"),"z-text-or-comment")</f>
        <v>redgifs.com</v>
      </c>
      <c r="S11" s="1" t="s">
        <v>436</v>
      </c>
      <c r="T11" s="1" t="s">
        <v>493</v>
      </c>
      <c r="U11" s="1" t="s">
        <v>679</v>
      </c>
      <c r="V11" s="1" t="s">
        <v>680</v>
      </c>
    </row>
    <row r="12" spans="1:22" ht="45" x14ac:dyDescent="0.25">
      <c r="A12" s="1" t="str">
        <f t="shared" si="0"/>
        <v>Done</v>
      </c>
      <c r="B12" s="1" t="s">
        <v>70</v>
      </c>
      <c r="C12" s="1" t="s">
        <v>432</v>
      </c>
      <c r="D12" s="1" t="s">
        <v>433</v>
      </c>
      <c r="E12" s="1" t="s">
        <v>297</v>
      </c>
      <c r="F12" s="1" t="s">
        <v>260</v>
      </c>
      <c r="G12" s="1" t="s">
        <v>389</v>
      </c>
      <c r="H12" s="1" t="s">
        <v>260</v>
      </c>
      <c r="I12" s="1" t="s">
        <v>431</v>
      </c>
      <c r="J12" s="1" t="s">
        <v>30</v>
      </c>
      <c r="K12" s="1" t="s">
        <v>9</v>
      </c>
      <c r="L12" s="1" t="s">
        <v>608</v>
      </c>
      <c r="M12" s="1" t="s">
        <v>391</v>
      </c>
      <c r="N12" s="1" t="s">
        <v>3</v>
      </c>
      <c r="O12" s="1">
        <v>7</v>
      </c>
      <c r="P12" s="1" t="s">
        <v>609</v>
      </c>
      <c r="Q12" s="1" t="str" cm="1">
        <f t="array" ref="Q12">_xlfn.REGEXEXTRACT(C12,"(?&lt;=//)[^/]+")</f>
        <v>old.reddit.com</v>
      </c>
      <c r="R12" s="1" t="str" cm="1">
        <f t="array" ref="R12">IF(D12&lt;&gt;"z-text-or-comment",_xlfn.REGEXEXTRACT(D12,"(?&lt;=//)[^/]+"),"z-text-or-comment")</f>
        <v>www.redgifs.com</v>
      </c>
      <c r="S12" s="1" t="s">
        <v>436</v>
      </c>
      <c r="T12" s="1" t="s">
        <v>459</v>
      </c>
      <c r="U12" s="1" t="s">
        <v>30</v>
      </c>
      <c r="V12" s="1" t="s">
        <v>680</v>
      </c>
    </row>
    <row r="13" spans="1:22" ht="45" x14ac:dyDescent="0.25">
      <c r="A13" s="1" t="str">
        <f t="shared" si="0"/>
        <v>Done</v>
      </c>
      <c r="B13" s="1" t="s">
        <v>70</v>
      </c>
      <c r="C13" s="1" t="s">
        <v>106</v>
      </c>
      <c r="D13" s="1" t="s">
        <v>190</v>
      </c>
      <c r="E13" s="1" t="s">
        <v>278</v>
      </c>
      <c r="F13" s="1" t="s">
        <v>232</v>
      </c>
      <c r="G13" s="1" t="s">
        <v>389</v>
      </c>
      <c r="H13" s="1" t="s">
        <v>232</v>
      </c>
      <c r="I13" s="1" t="s">
        <v>332</v>
      </c>
      <c r="J13" s="1" t="s">
        <v>30</v>
      </c>
      <c r="K13" s="1" t="s">
        <v>9</v>
      </c>
      <c r="L13" s="1" t="s">
        <v>661</v>
      </c>
      <c r="M13" s="1" t="s">
        <v>497</v>
      </c>
      <c r="N13" s="1" t="s">
        <v>3</v>
      </c>
      <c r="O13" s="1">
        <v>7</v>
      </c>
      <c r="P13" s="1" t="s">
        <v>662</v>
      </c>
      <c r="Q13" s="1" t="str" cm="1">
        <f t="array" ref="Q13">_xlfn.REGEXEXTRACT(C13,"(?&lt;=//)[^/]+")</f>
        <v>old.reddit.com</v>
      </c>
      <c r="R13" s="1" t="str" cm="1">
        <f t="array" ref="R13">IF(D13&lt;&gt;"z-text-or-comment",_xlfn.REGEXEXTRACT(D13,"(?&lt;=//)[^/]+"),"z-text-or-comment")</f>
        <v>www.redgifs.com</v>
      </c>
      <c r="S13" s="1" t="s">
        <v>436</v>
      </c>
      <c r="T13" s="1" t="s">
        <v>484</v>
      </c>
      <c r="U13" s="1" t="s">
        <v>30</v>
      </c>
      <c r="V13" s="1" t="s">
        <v>680</v>
      </c>
    </row>
    <row r="14" spans="1:22" ht="45" x14ac:dyDescent="0.25">
      <c r="A14" s="1" t="str">
        <f t="shared" si="0"/>
        <v>Done</v>
      </c>
      <c r="B14" s="1" t="s">
        <v>70</v>
      </c>
      <c r="C14" s="1" t="s">
        <v>143</v>
      </c>
      <c r="D14" s="1" t="s">
        <v>213</v>
      </c>
      <c r="E14" s="1" t="s">
        <v>276</v>
      </c>
      <c r="F14" s="1" t="s">
        <v>259</v>
      </c>
      <c r="G14" s="1" t="s">
        <v>389</v>
      </c>
      <c r="H14" s="1" t="s">
        <v>259</v>
      </c>
      <c r="I14" s="1" t="s">
        <v>366</v>
      </c>
      <c r="J14" s="1" t="s">
        <v>30</v>
      </c>
      <c r="K14" s="1" t="s">
        <v>9</v>
      </c>
      <c r="L14" s="1" t="s">
        <v>645</v>
      </c>
      <c r="M14" s="1" t="s">
        <v>427</v>
      </c>
      <c r="N14" s="1" t="s">
        <v>3</v>
      </c>
      <c r="O14" s="1">
        <v>8</v>
      </c>
      <c r="P14" s="1" t="s">
        <v>644</v>
      </c>
      <c r="Q14" s="1" t="str" cm="1">
        <f t="array" ref="Q14">_xlfn.REGEXEXTRACT(C14,"(?&lt;=//)[^/]+")</f>
        <v>old.reddit.com</v>
      </c>
      <c r="R14" s="1" t="str" cm="1">
        <f t="array" ref="R14">IF(D14&lt;&gt;"z-text-or-comment",_xlfn.REGEXEXTRACT(D14,"(?&lt;=//)[^/]+"),"z-text-or-comment")</f>
        <v>www.redgifs.com</v>
      </c>
      <c r="S14" s="1" t="s">
        <v>436</v>
      </c>
      <c r="T14" s="1" t="s">
        <v>477</v>
      </c>
      <c r="U14" s="1" t="s">
        <v>30</v>
      </c>
      <c r="V14" s="1" t="s">
        <v>680</v>
      </c>
    </row>
    <row r="15" spans="1:22" ht="45" x14ac:dyDescent="0.25">
      <c r="A15" s="1" t="str">
        <f t="shared" si="0"/>
        <v>Done</v>
      </c>
      <c r="B15" s="1" t="s">
        <v>70</v>
      </c>
      <c r="C15" s="1" t="s">
        <v>159</v>
      </c>
      <c r="D15" s="1" t="s">
        <v>224</v>
      </c>
      <c r="E15" s="1" t="s">
        <v>276</v>
      </c>
      <c r="F15" s="1" t="s">
        <v>272</v>
      </c>
      <c r="G15" s="1" t="s">
        <v>389</v>
      </c>
      <c r="H15" s="1" t="s">
        <v>272</v>
      </c>
      <c r="I15" s="1" t="s">
        <v>380</v>
      </c>
      <c r="J15" s="1" t="s">
        <v>30</v>
      </c>
      <c r="K15" s="1" t="s">
        <v>9</v>
      </c>
      <c r="L15" s="1" t="s">
        <v>594</v>
      </c>
      <c r="M15" s="1" t="s">
        <v>574</v>
      </c>
      <c r="N15" s="1" t="s">
        <v>3</v>
      </c>
      <c r="O15" s="1">
        <v>7</v>
      </c>
      <c r="P15" s="1" t="s">
        <v>595</v>
      </c>
      <c r="Q15" s="1" t="str" cm="1">
        <f t="array" ref="Q15">_xlfn.REGEXEXTRACT(C15,"(?&lt;=//)[^/]+")</f>
        <v>old.reddit.com</v>
      </c>
      <c r="R15" s="1" t="str" cm="1">
        <f t="array" ref="R15">IF(D15&lt;&gt;"z-text-or-comment",_xlfn.REGEXEXTRACT(D15,"(?&lt;=//)[^/]+"),"z-text-or-comment")</f>
        <v>www.redgifs.com</v>
      </c>
      <c r="S15" s="1" t="s">
        <v>436</v>
      </c>
      <c r="T15" s="1" t="s">
        <v>488</v>
      </c>
      <c r="U15" s="1" t="s">
        <v>679</v>
      </c>
      <c r="V15" s="1" t="s">
        <v>680</v>
      </c>
    </row>
    <row r="16" spans="1:22" ht="45" x14ac:dyDescent="0.25">
      <c r="A16" s="1" t="str">
        <f t="shared" si="0"/>
        <v>Done</v>
      </c>
      <c r="B16" s="1" t="s">
        <v>70</v>
      </c>
      <c r="C16" s="1" t="s">
        <v>89</v>
      </c>
      <c r="D16" s="1" t="s">
        <v>175</v>
      </c>
      <c r="E16" s="1" t="s">
        <v>276</v>
      </c>
      <c r="F16" s="1" t="s">
        <v>67</v>
      </c>
      <c r="G16" s="1" t="s">
        <v>389</v>
      </c>
      <c r="H16" s="1" t="s">
        <v>67</v>
      </c>
      <c r="I16" s="1" t="s">
        <v>317</v>
      </c>
      <c r="J16" s="1" t="s">
        <v>30</v>
      </c>
      <c r="K16" s="1" t="s">
        <v>9</v>
      </c>
      <c r="L16" s="1" t="s">
        <v>579</v>
      </c>
      <c r="M16" s="1" t="s">
        <v>391</v>
      </c>
      <c r="N16" s="1" t="s">
        <v>3</v>
      </c>
      <c r="O16" s="1">
        <v>7</v>
      </c>
      <c r="P16" s="1" t="s">
        <v>576</v>
      </c>
      <c r="Q16" s="1" t="str" cm="1">
        <f t="array" ref="Q16">_xlfn.REGEXEXTRACT(C16,"(?&lt;=//)[^/]+")</f>
        <v>old.reddit.com</v>
      </c>
      <c r="R16" s="1" t="str" cm="1">
        <f t="array" ref="R16">IF(D16&lt;&gt;"z-text-or-comment",_xlfn.REGEXEXTRACT(D16,"(?&lt;=//)[^/]+"),"z-text-or-comment")</f>
        <v>www.redgifs.com</v>
      </c>
      <c r="S16" s="1" t="s">
        <v>436</v>
      </c>
      <c r="T16" s="1" t="s">
        <v>485</v>
      </c>
      <c r="U16" s="1" t="s">
        <v>679</v>
      </c>
      <c r="V16" s="1" t="s">
        <v>680</v>
      </c>
    </row>
    <row r="17" spans="1:22" ht="45" x14ac:dyDescent="0.25">
      <c r="A17" s="1" t="str">
        <f t="shared" si="0"/>
        <v>Done</v>
      </c>
      <c r="B17" s="1" t="s">
        <v>70</v>
      </c>
      <c r="C17" s="1" t="s">
        <v>80</v>
      </c>
      <c r="D17" s="1" t="s">
        <v>167</v>
      </c>
      <c r="E17" s="1" t="s">
        <v>276</v>
      </c>
      <c r="F17" s="1" t="s">
        <v>67</v>
      </c>
      <c r="G17" s="1" t="s">
        <v>389</v>
      </c>
      <c r="H17" s="1" t="s">
        <v>67</v>
      </c>
      <c r="I17" s="1" t="s">
        <v>309</v>
      </c>
      <c r="J17" s="1" t="s">
        <v>30</v>
      </c>
      <c r="K17" s="1" t="s">
        <v>9</v>
      </c>
      <c r="L17" s="1" t="s">
        <v>617</v>
      </c>
      <c r="M17" s="1" t="s">
        <v>427</v>
      </c>
      <c r="N17" s="1" t="s">
        <v>3</v>
      </c>
      <c r="O17" s="1">
        <v>6</v>
      </c>
      <c r="P17" s="1" t="s">
        <v>618</v>
      </c>
      <c r="Q17" s="1" t="str" cm="1">
        <f t="array" ref="Q17">_xlfn.REGEXEXTRACT(C17,"(?&lt;=//)[^/]+")</f>
        <v>old.reddit.com</v>
      </c>
      <c r="R17" s="1" t="str" cm="1">
        <f t="array" ref="R17">IF(D17&lt;&gt;"z-text-or-comment",_xlfn.REGEXEXTRACT(D17,"(?&lt;=//)[^/]+"),"z-text-or-comment")</f>
        <v>www.redgifs.com</v>
      </c>
      <c r="S17" s="1" t="s">
        <v>436</v>
      </c>
      <c r="T17" s="1" t="s">
        <v>492</v>
      </c>
      <c r="U17" s="1" t="s">
        <v>679</v>
      </c>
      <c r="V17" s="1" t="s">
        <v>680</v>
      </c>
    </row>
    <row r="18" spans="1:22" ht="45" x14ac:dyDescent="0.25">
      <c r="A18" s="1" t="str">
        <f t="shared" si="0"/>
        <v>Done</v>
      </c>
      <c r="B18" s="1" t="s">
        <v>70</v>
      </c>
      <c r="C18" s="1" t="s">
        <v>81</v>
      </c>
      <c r="D18" s="1" t="s">
        <v>168</v>
      </c>
      <c r="E18" s="1" t="s">
        <v>276</v>
      </c>
      <c r="F18" s="1" t="s">
        <v>67</v>
      </c>
      <c r="G18" s="1" t="s">
        <v>389</v>
      </c>
      <c r="H18" s="1" t="s">
        <v>67</v>
      </c>
      <c r="I18" s="1" t="s">
        <v>310</v>
      </c>
      <c r="J18" s="1" t="s">
        <v>30</v>
      </c>
      <c r="K18" s="1" t="s">
        <v>9</v>
      </c>
      <c r="L18" s="1" t="s">
        <v>589</v>
      </c>
      <c r="M18" s="1" t="s">
        <v>427</v>
      </c>
      <c r="N18" s="1" t="s">
        <v>3</v>
      </c>
      <c r="O18" s="1">
        <v>8</v>
      </c>
      <c r="P18" s="1" t="s">
        <v>588</v>
      </c>
      <c r="Q18" s="1" t="str" cm="1">
        <f t="array" ref="Q18">_xlfn.REGEXEXTRACT(C18,"(?&lt;=//)[^/]+")</f>
        <v>old.reddit.com</v>
      </c>
      <c r="R18" s="1" t="str" cm="1">
        <f t="array" ref="R18">IF(D18&lt;&gt;"z-text-or-comment",_xlfn.REGEXEXTRACT(D18,"(?&lt;=//)[^/]+"),"z-text-or-comment")</f>
        <v>www.redgifs.com</v>
      </c>
      <c r="S18" s="1" t="s">
        <v>436</v>
      </c>
      <c r="T18" s="1" t="s">
        <v>486</v>
      </c>
      <c r="U18" s="1" t="s">
        <v>679</v>
      </c>
      <c r="V18" s="1" t="s">
        <v>680</v>
      </c>
    </row>
    <row r="19" spans="1:22" ht="45" x14ac:dyDescent="0.25">
      <c r="A19" s="1" t="str">
        <f t="shared" si="0"/>
        <v>Done</v>
      </c>
      <c r="B19" s="1" t="s">
        <v>70</v>
      </c>
      <c r="C19" s="1" t="s">
        <v>141</v>
      </c>
      <c r="D19" s="1" t="s">
        <v>211</v>
      </c>
      <c r="E19" s="1" t="s">
        <v>276</v>
      </c>
      <c r="F19" s="1" t="s">
        <v>259</v>
      </c>
      <c r="G19" s="1" t="s">
        <v>389</v>
      </c>
      <c r="H19" s="1" t="s">
        <v>259</v>
      </c>
      <c r="I19" s="1" t="s">
        <v>364</v>
      </c>
      <c r="J19" s="1" t="s">
        <v>30</v>
      </c>
      <c r="K19" s="1" t="s">
        <v>9</v>
      </c>
      <c r="L19" s="1" t="s">
        <v>634</v>
      </c>
      <c r="M19" s="1" t="s">
        <v>427</v>
      </c>
      <c r="N19" s="1" t="s">
        <v>3</v>
      </c>
      <c r="O19" s="1">
        <v>8</v>
      </c>
      <c r="P19" s="1" t="s">
        <v>635</v>
      </c>
      <c r="Q19" s="1" t="str" cm="1">
        <f t="array" ref="Q19">_xlfn.REGEXEXTRACT(C19,"(?&lt;=//)[^/]+")</f>
        <v>old.reddit.com</v>
      </c>
      <c r="R19" s="1" t="str" cm="1">
        <f t="array" ref="R19">IF(D19&lt;&gt;"z-text-or-comment",_xlfn.REGEXEXTRACT(D19,"(?&lt;=//)[^/]+"),"z-text-or-comment")</f>
        <v>www.redgifs.com</v>
      </c>
      <c r="S19" s="1" t="s">
        <v>436</v>
      </c>
      <c r="T19" s="1" t="s">
        <v>472</v>
      </c>
      <c r="U19" s="1" t="s">
        <v>30</v>
      </c>
      <c r="V19" s="1" t="s">
        <v>680</v>
      </c>
    </row>
    <row r="20" spans="1:22" ht="45" x14ac:dyDescent="0.25">
      <c r="A20" s="1" t="str">
        <f t="shared" si="0"/>
        <v>Done</v>
      </c>
      <c r="B20" s="1" t="s">
        <v>70</v>
      </c>
      <c r="C20" s="1" t="s">
        <v>83</v>
      </c>
      <c r="D20" s="1" t="s">
        <v>170</v>
      </c>
      <c r="E20" s="1" t="s">
        <v>276</v>
      </c>
      <c r="F20" s="1" t="s">
        <v>67</v>
      </c>
      <c r="G20" s="1" t="s">
        <v>389</v>
      </c>
      <c r="H20" s="1" t="s">
        <v>67</v>
      </c>
      <c r="I20" s="1" t="s">
        <v>312</v>
      </c>
      <c r="J20" s="1" t="s">
        <v>30</v>
      </c>
      <c r="K20" s="1" t="s">
        <v>9</v>
      </c>
      <c r="L20" s="1" t="s">
        <v>583</v>
      </c>
      <c r="M20" s="1" t="s">
        <v>427</v>
      </c>
      <c r="N20" s="1" t="s">
        <v>3</v>
      </c>
      <c r="O20" s="1">
        <v>6</v>
      </c>
      <c r="P20" s="1" t="s">
        <v>584</v>
      </c>
      <c r="Q20" s="1" t="str" cm="1">
        <f t="array" ref="Q20">_xlfn.REGEXEXTRACT(C20,"(?&lt;=//)[^/]+")</f>
        <v>old.reddit.com</v>
      </c>
      <c r="R20" s="1" t="str" cm="1">
        <f t="array" ref="R20">IF(D20&lt;&gt;"z-text-or-comment",_xlfn.REGEXEXTRACT(D20,"(?&lt;=//)[^/]+"),"z-text-or-comment")</f>
        <v>www.redgifs.com</v>
      </c>
      <c r="S20" s="1" t="s">
        <v>436</v>
      </c>
      <c r="T20" s="1" t="s">
        <v>453</v>
      </c>
      <c r="U20" s="1" t="s">
        <v>30</v>
      </c>
      <c r="V20" s="1" t="s">
        <v>680</v>
      </c>
    </row>
    <row r="21" spans="1:22" ht="45" x14ac:dyDescent="0.25">
      <c r="A21" s="1" t="str">
        <f t="shared" si="0"/>
        <v>Done</v>
      </c>
      <c r="B21" s="1" t="s">
        <v>70</v>
      </c>
      <c r="C21" s="1" t="s">
        <v>79</v>
      </c>
      <c r="D21" s="1" t="s">
        <v>166</v>
      </c>
      <c r="E21" s="1" t="s">
        <v>276</v>
      </c>
      <c r="F21" s="1" t="s">
        <v>67</v>
      </c>
      <c r="G21" s="1" t="s">
        <v>389</v>
      </c>
      <c r="H21" s="1" t="s">
        <v>67</v>
      </c>
      <c r="I21" s="1" t="s">
        <v>308</v>
      </c>
      <c r="J21" s="1" t="s">
        <v>30</v>
      </c>
      <c r="K21" s="1" t="s">
        <v>9</v>
      </c>
      <c r="L21" s="1" t="s">
        <v>615</v>
      </c>
      <c r="M21" s="1" t="s">
        <v>574</v>
      </c>
      <c r="N21" s="1" t="s">
        <v>3</v>
      </c>
      <c r="O21" s="1">
        <v>8</v>
      </c>
      <c r="P21" s="1" t="s">
        <v>616</v>
      </c>
      <c r="Q21" s="1" t="str" cm="1">
        <f t="array" ref="Q21">_xlfn.REGEXEXTRACT(C21,"(?&lt;=//)[^/]+")</f>
        <v>old.reddit.com</v>
      </c>
      <c r="R21" s="1" t="str" cm="1">
        <f t="array" ref="R21">IF(D21&lt;&gt;"z-text-or-comment",_xlfn.REGEXEXTRACT(D21,"(?&lt;=//)[^/]+"),"z-text-or-comment")</f>
        <v>www.redgifs.com</v>
      </c>
      <c r="S21" s="1" t="s">
        <v>436</v>
      </c>
      <c r="T21" s="1" t="s">
        <v>462</v>
      </c>
      <c r="U21" s="1" t="s">
        <v>30</v>
      </c>
      <c r="V21" s="1" t="s">
        <v>680</v>
      </c>
    </row>
    <row r="22" spans="1:22" ht="45" x14ac:dyDescent="0.25">
      <c r="A22" s="1" t="str">
        <f t="shared" si="0"/>
        <v>Done</v>
      </c>
      <c r="B22" s="1" t="s">
        <v>70</v>
      </c>
      <c r="C22" s="1" t="s">
        <v>78</v>
      </c>
      <c r="D22" s="1" t="s">
        <v>165</v>
      </c>
      <c r="E22" s="1" t="s">
        <v>276</v>
      </c>
      <c r="F22" s="1" t="s">
        <v>67</v>
      </c>
      <c r="G22" s="1" t="s">
        <v>389</v>
      </c>
      <c r="H22" s="1" t="s">
        <v>67</v>
      </c>
      <c r="I22" s="1" t="s">
        <v>307</v>
      </c>
      <c r="J22" s="1" t="s">
        <v>30</v>
      </c>
      <c r="K22" s="1" t="s">
        <v>9</v>
      </c>
      <c r="L22" s="1" t="s">
        <v>626</v>
      </c>
      <c r="M22" s="1" t="s">
        <v>427</v>
      </c>
      <c r="N22" s="1" t="s">
        <v>3</v>
      </c>
      <c r="O22" s="1">
        <v>9</v>
      </c>
      <c r="P22" s="1" t="s">
        <v>627</v>
      </c>
      <c r="Q22" s="1" t="str" cm="1">
        <f t="array" ref="Q22">_xlfn.REGEXEXTRACT(C22,"(?&lt;=//)[^/]+")</f>
        <v>old.reddit.com</v>
      </c>
      <c r="R22" s="1" t="str" cm="1">
        <f t="array" ref="R22">IF(D22&lt;&gt;"z-text-or-comment",_xlfn.REGEXEXTRACT(D22,"(?&lt;=//)[^/]+"),"z-text-or-comment")</f>
        <v>www.redgifs.com</v>
      </c>
      <c r="S22" s="1" t="s">
        <v>436</v>
      </c>
      <c r="T22" s="1" t="s">
        <v>465</v>
      </c>
      <c r="U22" s="1" t="s">
        <v>30</v>
      </c>
      <c r="V22" s="1" t="s">
        <v>680</v>
      </c>
    </row>
    <row r="23" spans="1:22" ht="45" x14ac:dyDescent="0.25">
      <c r="A23" s="1" t="str">
        <f t="shared" si="0"/>
        <v>Done</v>
      </c>
      <c r="B23" s="1" t="s">
        <v>70</v>
      </c>
      <c r="C23" s="1" t="s">
        <v>86</v>
      </c>
      <c r="D23" s="1" t="s">
        <v>173</v>
      </c>
      <c r="E23" s="1" t="s">
        <v>276</v>
      </c>
      <c r="F23" s="1" t="s">
        <v>67</v>
      </c>
      <c r="G23" s="1" t="s">
        <v>389</v>
      </c>
      <c r="H23" s="1" t="s">
        <v>67</v>
      </c>
      <c r="I23" s="1" t="s">
        <v>315</v>
      </c>
      <c r="J23" s="1" t="s">
        <v>30</v>
      </c>
      <c r="K23" s="1" t="s">
        <v>9</v>
      </c>
      <c r="L23" s="1" t="s">
        <v>660</v>
      </c>
      <c r="M23" s="1" t="s">
        <v>427</v>
      </c>
      <c r="N23" s="1" t="s">
        <v>3</v>
      </c>
      <c r="O23" s="1">
        <v>3</v>
      </c>
      <c r="P23" s="1" t="s">
        <v>659</v>
      </c>
      <c r="Q23" s="1" t="str" cm="1">
        <f t="array" ref="Q23">_xlfn.REGEXEXTRACT(C23,"(?&lt;=//)[^/]+")</f>
        <v>old.reddit.com</v>
      </c>
      <c r="R23" s="1" t="str" cm="1">
        <f t="array" ref="R23">IF(D23&lt;&gt;"z-text-or-comment",_xlfn.REGEXEXTRACT(D23,"(?&lt;=//)[^/]+"),"z-text-or-comment")</f>
        <v>www.redgifs.com</v>
      </c>
      <c r="S23" s="1" t="s">
        <v>436</v>
      </c>
      <c r="T23" s="1" t="s">
        <v>495</v>
      </c>
      <c r="U23" s="1" t="s">
        <v>679</v>
      </c>
      <c r="V23" s="1" t="s">
        <v>680</v>
      </c>
    </row>
    <row r="24" spans="1:22" ht="45" x14ac:dyDescent="0.25">
      <c r="A24" s="1" t="str">
        <f t="shared" si="0"/>
        <v>Done</v>
      </c>
      <c r="B24" s="1" t="s">
        <v>70</v>
      </c>
      <c r="C24" s="1" t="s">
        <v>137</v>
      </c>
      <c r="D24" s="1" t="s">
        <v>207</v>
      </c>
      <c r="E24" s="1" t="s">
        <v>276</v>
      </c>
      <c r="F24" s="1" t="s">
        <v>256</v>
      </c>
      <c r="G24" s="1" t="s">
        <v>389</v>
      </c>
      <c r="H24" s="1" t="s">
        <v>256</v>
      </c>
      <c r="I24" s="1" t="s">
        <v>360</v>
      </c>
      <c r="J24" s="1" t="s">
        <v>30</v>
      </c>
      <c r="K24" s="1" t="s">
        <v>9</v>
      </c>
      <c r="L24" s="1" t="s">
        <v>573</v>
      </c>
      <c r="M24" s="1" t="s">
        <v>574</v>
      </c>
      <c r="N24" s="1" t="s">
        <v>3</v>
      </c>
      <c r="O24" s="1">
        <v>2</v>
      </c>
      <c r="P24" s="1" t="s">
        <v>575</v>
      </c>
      <c r="Q24" s="1" t="str" cm="1">
        <f t="array" ref="Q24">_xlfn.REGEXEXTRACT(C24,"(?&lt;=//)[^/]+")</f>
        <v>old.reddit.com</v>
      </c>
      <c r="R24" s="1" t="str" cm="1">
        <f t="array" ref="R24">IF(D24&lt;&gt;"z-text-or-comment",_xlfn.REGEXEXTRACT(D24,"(?&lt;=//)[^/]+"),"z-text-or-comment")</f>
        <v>i.redd.it</v>
      </c>
      <c r="S24" s="1" t="s">
        <v>436</v>
      </c>
      <c r="T24" s="1" t="s">
        <v>442</v>
      </c>
      <c r="U24" s="1" t="s">
        <v>30</v>
      </c>
      <c r="V24" s="1" t="s">
        <v>680</v>
      </c>
    </row>
    <row r="25" spans="1:22" ht="45" x14ac:dyDescent="0.25">
      <c r="A25" s="1" t="str">
        <f t="shared" si="0"/>
        <v>Done</v>
      </c>
      <c r="B25" s="1" t="s">
        <v>229</v>
      </c>
      <c r="C25" s="1" t="s">
        <v>87</v>
      </c>
      <c r="D25" s="1" t="s">
        <v>174</v>
      </c>
      <c r="E25" s="1" t="s">
        <v>276</v>
      </c>
      <c r="F25" s="1" t="s">
        <v>67</v>
      </c>
      <c r="G25" s="1" t="s">
        <v>389</v>
      </c>
      <c r="H25" s="1" t="s">
        <v>67</v>
      </c>
      <c r="I25" s="1" t="s">
        <v>316</v>
      </c>
      <c r="J25" s="1" t="s">
        <v>423</v>
      </c>
      <c r="K25" s="1" t="s">
        <v>9</v>
      </c>
      <c r="L25" s="1" t="s">
        <v>587</v>
      </c>
      <c r="M25" s="1" t="s">
        <v>427</v>
      </c>
      <c r="N25" s="1" t="s">
        <v>3</v>
      </c>
      <c r="O25" s="1">
        <v>5</v>
      </c>
      <c r="P25" s="1" t="s">
        <v>505</v>
      </c>
      <c r="Q25" s="1" t="str" cm="1">
        <f t="array" ref="Q25">_xlfn.REGEXEXTRACT(C25,"(?&lt;=//)[^/]+")</f>
        <v>old.reddit.com</v>
      </c>
      <c r="R25" s="1" t="str" cm="1">
        <f t="array" ref="R25">IF(D25&lt;&gt;"z-text-or-comment",_xlfn.REGEXEXTRACT(D25,"(?&lt;=//)[^/]+"),"z-text-or-comment")</f>
        <v>i.redd.it</v>
      </c>
      <c r="S25" s="1" t="s">
        <v>436</v>
      </c>
      <c r="T25" s="1" t="s">
        <v>423</v>
      </c>
      <c r="U25" s="1" t="s">
        <v>30</v>
      </c>
      <c r="V25" s="1" t="s">
        <v>680</v>
      </c>
    </row>
    <row r="26" spans="1:22" ht="45" x14ac:dyDescent="0.25">
      <c r="A26" s="1" t="str">
        <f t="shared" si="0"/>
        <v>Done</v>
      </c>
      <c r="B26" s="1" t="s">
        <v>72</v>
      </c>
      <c r="C26" s="1" t="s">
        <v>88</v>
      </c>
      <c r="D26" s="1" t="s">
        <v>415</v>
      </c>
      <c r="E26" s="1" t="s">
        <v>276</v>
      </c>
      <c r="F26" s="1" t="s">
        <v>67</v>
      </c>
      <c r="G26" s="1" t="s">
        <v>389</v>
      </c>
      <c r="H26" s="1" t="s">
        <v>67</v>
      </c>
      <c r="I26" s="1" t="s">
        <v>316</v>
      </c>
      <c r="J26" s="1" t="s">
        <v>423</v>
      </c>
      <c r="K26" s="1" t="s">
        <v>9</v>
      </c>
      <c r="L26" s="1" t="s">
        <v>581</v>
      </c>
      <c r="M26" s="1" t="s">
        <v>415</v>
      </c>
      <c r="N26" s="1" t="s">
        <v>3</v>
      </c>
      <c r="O26" s="1">
        <v>1</v>
      </c>
      <c r="P26" s="1" t="s">
        <v>513</v>
      </c>
      <c r="Q26" s="1" t="str" cm="1">
        <f t="array" ref="Q26">_xlfn.REGEXEXTRACT(C26,"(?&lt;=//)[^/]+")</f>
        <v>old.reddit.com</v>
      </c>
      <c r="R26" s="1" t="str" cm="1">
        <f t="array" ref="R26">IF(D26&lt;&gt;"z-text-or-comment",_xlfn.REGEXEXTRACT(D26,"(?&lt;=//)[^/]+"),"z-text-or-comment")</f>
        <v>z-text-or-comment</v>
      </c>
      <c r="S26" s="1" t="s">
        <v>436</v>
      </c>
      <c r="T26" s="1" t="s">
        <v>416</v>
      </c>
      <c r="U26" s="1" t="s">
        <v>30</v>
      </c>
      <c r="V26" s="1" t="s">
        <v>680</v>
      </c>
    </row>
    <row r="27" spans="1:22" ht="45" x14ac:dyDescent="0.25">
      <c r="A27" s="1" t="str">
        <f t="shared" si="0"/>
        <v>Done</v>
      </c>
      <c r="B27" s="1" t="s">
        <v>70</v>
      </c>
      <c r="C27" s="1" t="s">
        <v>90</v>
      </c>
      <c r="D27" s="1" t="s">
        <v>176</v>
      </c>
      <c r="E27" s="1" t="s">
        <v>276</v>
      </c>
      <c r="F27" s="1" t="s">
        <v>67</v>
      </c>
      <c r="G27" s="1" t="s">
        <v>389</v>
      </c>
      <c r="H27" s="1" t="s">
        <v>67</v>
      </c>
      <c r="I27" s="1" t="s">
        <v>318</v>
      </c>
      <c r="J27" s="1" t="s">
        <v>30</v>
      </c>
      <c r="K27" s="1" t="s">
        <v>9</v>
      </c>
      <c r="L27" s="1" t="s">
        <v>630</v>
      </c>
      <c r="M27" s="1" t="s">
        <v>574</v>
      </c>
      <c r="N27" s="1" t="s">
        <v>3</v>
      </c>
      <c r="O27" s="1">
        <v>4</v>
      </c>
      <c r="P27" s="1" t="s">
        <v>631</v>
      </c>
      <c r="Q27" s="1" t="str" cm="1">
        <f t="array" ref="Q27">_xlfn.REGEXEXTRACT(C27,"(?&lt;=//)[^/]+")</f>
        <v>old.reddit.com</v>
      </c>
      <c r="R27" s="1" t="str" cm="1">
        <f t="array" ref="R27">IF(D27&lt;&gt;"z-text-or-comment",_xlfn.REGEXEXTRACT(D27,"(?&lt;=//)[^/]+"),"z-text-or-comment")</f>
        <v>www.redgifs.com</v>
      </c>
      <c r="S27" s="1" t="s">
        <v>436</v>
      </c>
      <c r="T27" s="1" t="s">
        <v>470</v>
      </c>
      <c r="U27" s="1" t="s">
        <v>30</v>
      </c>
      <c r="V27" s="1" t="s">
        <v>680</v>
      </c>
    </row>
    <row r="28" spans="1:22" ht="45" x14ac:dyDescent="0.25">
      <c r="A28" s="1" t="str">
        <f t="shared" si="0"/>
        <v>Done</v>
      </c>
      <c r="B28" s="1" t="s">
        <v>70</v>
      </c>
      <c r="C28" s="1" t="s">
        <v>91</v>
      </c>
      <c r="D28" s="1" t="s">
        <v>177</v>
      </c>
      <c r="E28" s="1" t="s">
        <v>276</v>
      </c>
      <c r="F28" s="1" t="s">
        <v>67</v>
      </c>
      <c r="G28" s="1" t="s">
        <v>389</v>
      </c>
      <c r="H28" s="1" t="s">
        <v>67</v>
      </c>
      <c r="I28" s="1" t="s">
        <v>319</v>
      </c>
      <c r="J28" s="1" t="s">
        <v>30</v>
      </c>
      <c r="K28" s="1" t="s">
        <v>9</v>
      </c>
      <c r="L28" s="1" t="s">
        <v>612</v>
      </c>
      <c r="M28" s="1" t="s">
        <v>574</v>
      </c>
      <c r="N28" s="1" t="s">
        <v>3</v>
      </c>
      <c r="O28" s="1">
        <v>5</v>
      </c>
      <c r="P28" s="1" t="s">
        <v>613</v>
      </c>
      <c r="Q28" s="1" t="str" cm="1">
        <f t="array" ref="Q28">_xlfn.REGEXEXTRACT(C28,"(?&lt;=//)[^/]+")</f>
        <v>old.reddit.com</v>
      </c>
      <c r="R28" s="1" t="str" cm="1">
        <f t="array" ref="R28">IF(D28&lt;&gt;"z-text-or-comment",_xlfn.REGEXEXTRACT(D28,"(?&lt;=//)[^/]+"),"z-text-or-comment")</f>
        <v>www.redgifs.com</v>
      </c>
      <c r="S28" s="1" t="s">
        <v>436</v>
      </c>
      <c r="T28" s="1" t="s">
        <v>461</v>
      </c>
      <c r="U28" s="1" t="s">
        <v>30</v>
      </c>
      <c r="V28" s="1" t="s">
        <v>680</v>
      </c>
    </row>
    <row r="29" spans="1:22" ht="45" x14ac:dyDescent="0.25">
      <c r="A29" s="1" t="str">
        <f t="shared" si="0"/>
        <v>Done</v>
      </c>
      <c r="B29" s="1" t="s">
        <v>70</v>
      </c>
      <c r="C29" s="1" t="s">
        <v>92</v>
      </c>
      <c r="D29" s="1" t="s">
        <v>178</v>
      </c>
      <c r="E29" s="1" t="s">
        <v>276</v>
      </c>
      <c r="F29" s="1" t="s">
        <v>67</v>
      </c>
      <c r="G29" s="1" t="s">
        <v>389</v>
      </c>
      <c r="H29" s="1" t="s">
        <v>67</v>
      </c>
      <c r="I29" s="1" t="s">
        <v>320</v>
      </c>
      <c r="J29" s="1" t="s">
        <v>30</v>
      </c>
      <c r="K29" s="1" t="s">
        <v>9</v>
      </c>
      <c r="L29" s="1" t="s">
        <v>628</v>
      </c>
      <c r="M29" s="1" t="s">
        <v>574</v>
      </c>
      <c r="N29" s="1" t="s">
        <v>3</v>
      </c>
      <c r="O29" s="1">
        <v>4</v>
      </c>
      <c r="P29" s="1" t="s">
        <v>629</v>
      </c>
      <c r="Q29" s="1" t="str" cm="1">
        <f t="array" ref="Q29">_xlfn.REGEXEXTRACT(C29,"(?&lt;=//)[^/]+")</f>
        <v>old.reddit.com</v>
      </c>
      <c r="R29" s="1" t="str" cm="1">
        <f t="array" ref="R29">IF(D29&lt;&gt;"z-text-or-comment",_xlfn.REGEXEXTRACT(D29,"(?&lt;=//)[^/]+"),"z-text-or-comment")</f>
        <v>www.redgifs.com</v>
      </c>
      <c r="S29" s="1" t="s">
        <v>436</v>
      </c>
      <c r="T29" s="1" t="s">
        <v>467</v>
      </c>
      <c r="U29" s="1" t="s">
        <v>30</v>
      </c>
      <c r="V29" s="1" t="s">
        <v>680</v>
      </c>
    </row>
    <row r="30" spans="1:22" ht="60" x14ac:dyDescent="0.25">
      <c r="A30" s="1" t="str">
        <f t="shared" si="0"/>
        <v>Done</v>
      </c>
      <c r="B30" s="1" t="s">
        <v>70</v>
      </c>
      <c r="C30" s="1" t="s">
        <v>93</v>
      </c>
      <c r="D30" s="1" t="s">
        <v>179</v>
      </c>
      <c r="E30" s="1" t="s">
        <v>276</v>
      </c>
      <c r="F30" s="1" t="s">
        <v>67</v>
      </c>
      <c r="G30" s="1" t="s">
        <v>389</v>
      </c>
      <c r="H30" s="1" t="s">
        <v>67</v>
      </c>
      <c r="I30" s="1" t="s">
        <v>321</v>
      </c>
      <c r="J30" s="1" t="s">
        <v>30</v>
      </c>
      <c r="K30" s="1" t="s">
        <v>9</v>
      </c>
      <c r="L30" s="1" t="s">
        <v>585</v>
      </c>
      <c r="M30" s="1" t="s">
        <v>574</v>
      </c>
      <c r="N30" s="1" t="s">
        <v>3</v>
      </c>
      <c r="O30" s="1">
        <v>6</v>
      </c>
      <c r="P30" s="1" t="s">
        <v>586</v>
      </c>
      <c r="Q30" s="1" t="str" cm="1">
        <f t="array" ref="Q30">_xlfn.REGEXEXTRACT(C30,"(?&lt;=//)[^/]+")</f>
        <v>old.reddit.com</v>
      </c>
      <c r="R30" s="1" t="str" cm="1">
        <f t="array" ref="R30">IF(D30&lt;&gt;"z-text-or-comment",_xlfn.REGEXEXTRACT(D30,"(?&lt;=//)[^/]+"),"z-text-or-comment")</f>
        <v>www.redgifs.com</v>
      </c>
      <c r="S30" s="1" t="s">
        <v>436</v>
      </c>
      <c r="T30" s="1" t="s">
        <v>454</v>
      </c>
      <c r="U30" s="1" t="s">
        <v>30</v>
      </c>
      <c r="V30" s="1" t="s">
        <v>680</v>
      </c>
    </row>
    <row r="31" spans="1:22" ht="45" x14ac:dyDescent="0.25">
      <c r="A31" s="1" t="str">
        <f t="shared" si="0"/>
        <v>Done</v>
      </c>
      <c r="B31" s="1" t="s">
        <v>70</v>
      </c>
      <c r="C31" s="1" t="s">
        <v>95</v>
      </c>
      <c r="D31" s="1" t="s">
        <v>180</v>
      </c>
      <c r="E31" s="1" t="s">
        <v>276</v>
      </c>
      <c r="F31" s="1" t="s">
        <v>67</v>
      </c>
      <c r="G31" s="1" t="s">
        <v>389</v>
      </c>
      <c r="H31" s="1" t="s">
        <v>67</v>
      </c>
      <c r="I31" s="1" t="s">
        <v>322</v>
      </c>
      <c r="J31" s="1" t="s">
        <v>30</v>
      </c>
      <c r="K31" s="1" t="s">
        <v>9</v>
      </c>
      <c r="L31" s="1" t="s">
        <v>622</v>
      </c>
      <c r="M31" s="1" t="s">
        <v>574</v>
      </c>
      <c r="N31" s="1" t="s">
        <v>3</v>
      </c>
      <c r="O31" s="1">
        <v>8</v>
      </c>
      <c r="P31" s="1" t="s">
        <v>623</v>
      </c>
      <c r="Q31" s="1" t="str" cm="1">
        <f t="array" ref="Q31">_xlfn.REGEXEXTRACT(C31,"(?&lt;=//)[^/]+")</f>
        <v>old.reddit.com</v>
      </c>
      <c r="R31" s="1" t="str" cm="1">
        <f t="array" ref="R31">IF(D31&lt;&gt;"z-text-or-comment",_xlfn.REGEXEXTRACT(D31,"(?&lt;=//)[^/]+"),"z-text-or-comment")</f>
        <v>www.redgifs.com</v>
      </c>
      <c r="S31" s="1" t="s">
        <v>436</v>
      </c>
      <c r="T31" s="1" t="s">
        <v>463</v>
      </c>
      <c r="U31" s="1" t="s">
        <v>30</v>
      </c>
      <c r="V31" s="1" t="s">
        <v>680</v>
      </c>
    </row>
    <row r="32" spans="1:22" ht="45" x14ac:dyDescent="0.25">
      <c r="A32" s="1" t="str">
        <f t="shared" si="0"/>
        <v>Done</v>
      </c>
      <c r="B32" s="1" t="s">
        <v>72</v>
      </c>
      <c r="C32" s="1" t="s">
        <v>94</v>
      </c>
      <c r="D32" s="1" t="s">
        <v>415</v>
      </c>
      <c r="E32" s="1" t="s">
        <v>276</v>
      </c>
      <c r="F32" s="1" t="s">
        <v>230</v>
      </c>
      <c r="G32" s="1" t="s">
        <v>389</v>
      </c>
      <c r="H32" s="1" t="s">
        <v>230</v>
      </c>
      <c r="I32" s="1" t="s">
        <v>322</v>
      </c>
      <c r="J32" s="1" t="s">
        <v>417</v>
      </c>
      <c r="K32" s="1" t="s">
        <v>9</v>
      </c>
      <c r="L32" s="1" t="s">
        <v>511</v>
      </c>
      <c r="M32" s="1" t="s">
        <v>415</v>
      </c>
      <c r="N32" s="1" t="s">
        <v>3</v>
      </c>
      <c r="O32" s="1">
        <v>1</v>
      </c>
      <c r="P32" s="1" t="s">
        <v>512</v>
      </c>
      <c r="Q32" s="1" t="str" cm="1">
        <f t="array" ref="Q32">_xlfn.REGEXEXTRACT(C32,"(?&lt;=//)[^/]+")</f>
        <v>old.reddit.com</v>
      </c>
      <c r="R32" s="1" t="str" cm="1">
        <f t="array" ref="R32">IF(D32&lt;&gt;"z-text-or-comment",_xlfn.REGEXEXTRACT(D32,"(?&lt;=//)[^/]+"),"z-text-or-comment")</f>
        <v>z-text-or-comment</v>
      </c>
      <c r="S32" s="1" t="s">
        <v>436</v>
      </c>
      <c r="T32" s="1" t="s">
        <v>417</v>
      </c>
      <c r="U32" s="1" t="s">
        <v>30</v>
      </c>
      <c r="V32" s="1" t="s">
        <v>680</v>
      </c>
    </row>
    <row r="33" spans="1:22" ht="45" x14ac:dyDescent="0.25">
      <c r="A33" s="1" t="str">
        <f t="shared" si="0"/>
        <v>Done</v>
      </c>
      <c r="B33" s="1" t="s">
        <v>70</v>
      </c>
      <c r="C33" s="1" t="s">
        <v>96</v>
      </c>
      <c r="D33" s="1" t="s">
        <v>181</v>
      </c>
      <c r="E33" s="1" t="s">
        <v>276</v>
      </c>
      <c r="F33" s="1" t="s">
        <v>67</v>
      </c>
      <c r="G33" s="1" t="s">
        <v>389</v>
      </c>
      <c r="H33" s="1" t="s">
        <v>67</v>
      </c>
      <c r="I33" s="1" t="s">
        <v>323</v>
      </c>
      <c r="J33" s="1" t="s">
        <v>30</v>
      </c>
      <c r="K33" s="1" t="s">
        <v>9</v>
      </c>
      <c r="L33" s="1" t="s">
        <v>598</v>
      </c>
      <c r="M33" s="1" t="s">
        <v>427</v>
      </c>
      <c r="N33" s="1" t="s">
        <v>3</v>
      </c>
      <c r="O33" s="1">
        <v>6</v>
      </c>
      <c r="P33" s="1" t="s">
        <v>599</v>
      </c>
      <c r="Q33" s="1" t="str" cm="1">
        <f t="array" ref="Q33">_xlfn.REGEXEXTRACT(C33,"(?&lt;=//)[^/]+")</f>
        <v>old.reddit.com</v>
      </c>
      <c r="R33" s="1" t="str" cm="1">
        <f t="array" ref="R33">IF(D33&lt;&gt;"z-text-or-comment",_xlfn.REGEXEXTRACT(D33,"(?&lt;=//)[^/]+"),"z-text-or-comment")</f>
        <v>www.redgifs.com</v>
      </c>
      <c r="S33" s="1" t="s">
        <v>436</v>
      </c>
      <c r="T33" s="1" t="s">
        <v>457</v>
      </c>
      <c r="U33" s="1" t="s">
        <v>30</v>
      </c>
      <c r="V33" s="1" t="s">
        <v>680</v>
      </c>
    </row>
    <row r="34" spans="1:22" ht="45" x14ac:dyDescent="0.25">
      <c r="A34" s="1" t="str">
        <f t="shared" ref="A34:A65" si="1">IF(ISBLANK(N34)=TRUE,"Pending","Done")</f>
        <v>Done</v>
      </c>
      <c r="B34" s="1" t="s">
        <v>70</v>
      </c>
      <c r="C34" s="1" t="s">
        <v>97</v>
      </c>
      <c r="D34" s="1" t="s">
        <v>182</v>
      </c>
      <c r="E34" s="1" t="s">
        <v>276</v>
      </c>
      <c r="F34" s="1" t="s">
        <v>67</v>
      </c>
      <c r="G34" s="1" t="s">
        <v>389</v>
      </c>
      <c r="H34" s="1" t="s">
        <v>67</v>
      </c>
      <c r="I34" s="1" t="s">
        <v>324</v>
      </c>
      <c r="J34" s="1" t="s">
        <v>30</v>
      </c>
      <c r="K34" s="1" t="s">
        <v>9</v>
      </c>
      <c r="L34" s="1" t="s">
        <v>652</v>
      </c>
      <c r="M34" s="1" t="s">
        <v>391</v>
      </c>
      <c r="N34" s="1" t="s">
        <v>3</v>
      </c>
      <c r="O34" s="1">
        <v>6</v>
      </c>
      <c r="P34" s="1" t="s">
        <v>653</v>
      </c>
      <c r="Q34" s="1" t="str" cm="1">
        <f t="array" ref="Q34">_xlfn.REGEXEXTRACT(C34,"(?&lt;=//)[^/]+")</f>
        <v>old.reddit.com</v>
      </c>
      <c r="R34" s="1" t="str" cm="1">
        <f t="array" ref="R34">IF(D34&lt;&gt;"z-text-or-comment",_xlfn.REGEXEXTRACT(D34,"(?&lt;=//)[^/]+"),"z-text-or-comment")</f>
        <v>www.redgifs.com</v>
      </c>
      <c r="S34" s="1" t="s">
        <v>436</v>
      </c>
      <c r="T34" s="1" t="s">
        <v>480</v>
      </c>
      <c r="U34" s="1" t="s">
        <v>30</v>
      </c>
      <c r="V34" s="1" t="s">
        <v>680</v>
      </c>
    </row>
    <row r="35" spans="1:22" ht="45" x14ac:dyDescent="0.25">
      <c r="A35" s="1" t="str">
        <f t="shared" si="1"/>
        <v>Done</v>
      </c>
      <c r="B35" s="1" t="s">
        <v>70</v>
      </c>
      <c r="C35" s="1" t="s">
        <v>142</v>
      </c>
      <c r="D35" s="1" t="s">
        <v>212</v>
      </c>
      <c r="E35" s="1" t="s">
        <v>276</v>
      </c>
      <c r="F35" s="1" t="s">
        <v>76</v>
      </c>
      <c r="G35" s="1" t="s">
        <v>389</v>
      </c>
      <c r="H35" s="1" t="s">
        <v>76</v>
      </c>
      <c r="I35" s="1" t="s">
        <v>365</v>
      </c>
      <c r="J35" s="1" t="s">
        <v>30</v>
      </c>
      <c r="K35" s="1" t="s">
        <v>9</v>
      </c>
      <c r="L35" s="1" t="s">
        <v>602</v>
      </c>
      <c r="M35" s="1" t="s">
        <v>574</v>
      </c>
      <c r="N35" s="1" t="s">
        <v>3</v>
      </c>
      <c r="O35" s="1">
        <v>8</v>
      </c>
      <c r="P35" s="1" t="s">
        <v>603</v>
      </c>
      <c r="Q35" s="1" t="str" cm="1">
        <f t="array" ref="Q35">_xlfn.REGEXEXTRACT(C35,"(?&lt;=//)[^/]+")</f>
        <v>old.reddit.com</v>
      </c>
      <c r="R35" s="1" t="str" cm="1">
        <f t="array" ref="R35">IF(D35&lt;&gt;"z-text-or-comment",_xlfn.REGEXEXTRACT(D35,"(?&lt;=//)[^/]+"),"z-text-or-comment")</f>
        <v>v3.redgifs.com</v>
      </c>
      <c r="S35" s="1" t="s">
        <v>436</v>
      </c>
      <c r="T35" s="1" t="s">
        <v>438</v>
      </c>
      <c r="U35" s="1" t="s">
        <v>30</v>
      </c>
      <c r="V35" s="1" t="s">
        <v>680</v>
      </c>
    </row>
    <row r="36" spans="1:22" ht="45" x14ac:dyDescent="0.25">
      <c r="A36" s="1" t="str">
        <f t="shared" si="1"/>
        <v>Done</v>
      </c>
      <c r="B36" s="1" t="s">
        <v>70</v>
      </c>
      <c r="C36" s="1" t="s">
        <v>98</v>
      </c>
      <c r="D36" s="1" t="s">
        <v>183</v>
      </c>
      <c r="E36" s="1" t="s">
        <v>276</v>
      </c>
      <c r="F36" s="1" t="s">
        <v>67</v>
      </c>
      <c r="G36" s="1" t="s">
        <v>389</v>
      </c>
      <c r="H36" s="1" t="s">
        <v>67</v>
      </c>
      <c r="I36" s="1" t="s">
        <v>325</v>
      </c>
      <c r="J36" s="1" t="s">
        <v>30</v>
      </c>
      <c r="K36" s="1" t="s">
        <v>9</v>
      </c>
      <c r="L36" s="1" t="s">
        <v>619</v>
      </c>
      <c r="M36" s="1" t="s">
        <v>574</v>
      </c>
      <c r="N36" s="1" t="s">
        <v>3</v>
      </c>
      <c r="O36" s="1">
        <v>7</v>
      </c>
      <c r="P36" s="1" t="s">
        <v>620</v>
      </c>
      <c r="Q36" s="1" t="str" cm="1">
        <f t="array" ref="Q36">_xlfn.REGEXEXTRACT(C36,"(?&lt;=//)[^/]+")</f>
        <v>old.reddit.com</v>
      </c>
      <c r="R36" s="1" t="str" cm="1">
        <f t="array" ref="R36">IF(D36&lt;&gt;"z-text-or-comment",_xlfn.REGEXEXTRACT(D36,"(?&lt;=//)[^/]+"),"z-text-or-comment")</f>
        <v>redgifs.com</v>
      </c>
      <c r="S36" s="1" t="s">
        <v>436</v>
      </c>
      <c r="T36" s="1" t="s">
        <v>445</v>
      </c>
      <c r="U36" s="1" t="s">
        <v>30</v>
      </c>
      <c r="V36" s="1" t="s">
        <v>680</v>
      </c>
    </row>
    <row r="37" spans="1:22" ht="45" x14ac:dyDescent="0.25">
      <c r="A37" s="1" t="str">
        <f t="shared" si="1"/>
        <v>Done</v>
      </c>
      <c r="B37" s="1" t="s">
        <v>70</v>
      </c>
      <c r="C37" s="1" t="s">
        <v>99</v>
      </c>
      <c r="D37" s="1" t="s">
        <v>184</v>
      </c>
      <c r="E37" s="1" t="s">
        <v>276</v>
      </c>
      <c r="F37" s="1" t="s">
        <v>67</v>
      </c>
      <c r="G37" s="1" t="s">
        <v>389</v>
      </c>
      <c r="H37" s="1" t="s">
        <v>67</v>
      </c>
      <c r="I37" s="1" t="s">
        <v>326</v>
      </c>
      <c r="J37" s="1" t="s">
        <v>30</v>
      </c>
      <c r="K37" s="1" t="s">
        <v>9</v>
      </c>
      <c r="L37" s="1" t="s">
        <v>632</v>
      </c>
      <c r="M37" s="1" t="s">
        <v>574</v>
      </c>
      <c r="N37" s="1" t="s">
        <v>3</v>
      </c>
      <c r="O37" s="1">
        <v>4</v>
      </c>
      <c r="P37" s="1" t="s">
        <v>633</v>
      </c>
      <c r="Q37" s="1" t="str" cm="1">
        <f t="array" ref="Q37">_xlfn.REGEXEXTRACT(C37,"(?&lt;=//)[^/]+")</f>
        <v>old.reddit.com</v>
      </c>
      <c r="R37" s="1" t="str" cm="1">
        <f t="array" ref="R37">IF(D37&lt;&gt;"z-text-or-comment",_xlfn.REGEXEXTRACT(D37,"(?&lt;=//)[^/]+"),"z-text-or-comment")</f>
        <v>redgifs.com</v>
      </c>
      <c r="S37" s="1" t="s">
        <v>436</v>
      </c>
      <c r="T37" s="1" t="s">
        <v>446</v>
      </c>
      <c r="U37" s="1" t="s">
        <v>30</v>
      </c>
      <c r="V37" s="1" t="s">
        <v>680</v>
      </c>
    </row>
    <row r="38" spans="1:22" ht="45" x14ac:dyDescent="0.25">
      <c r="A38" s="1" t="str">
        <f t="shared" si="1"/>
        <v>Done</v>
      </c>
      <c r="B38" s="1" t="s">
        <v>229</v>
      </c>
      <c r="C38" s="1" t="s">
        <v>100</v>
      </c>
      <c r="D38" s="1" t="s">
        <v>185</v>
      </c>
      <c r="E38" s="1" t="s">
        <v>276</v>
      </c>
      <c r="F38" s="1" t="s">
        <v>67</v>
      </c>
      <c r="G38" s="1" t="s">
        <v>389</v>
      </c>
      <c r="H38" s="1" t="s">
        <v>67</v>
      </c>
      <c r="I38" s="1" t="s">
        <v>327</v>
      </c>
      <c r="J38" s="1" t="s">
        <v>424</v>
      </c>
      <c r="K38" s="1" t="s">
        <v>9</v>
      </c>
      <c r="L38" s="1" t="s">
        <v>578</v>
      </c>
      <c r="M38" s="1" t="s">
        <v>427</v>
      </c>
      <c r="N38" s="1" t="s">
        <v>3</v>
      </c>
      <c r="O38" s="1">
        <v>6</v>
      </c>
      <c r="P38" s="1" t="s">
        <v>506</v>
      </c>
      <c r="Q38" s="1" t="str" cm="1">
        <f t="array" ref="Q38">_xlfn.REGEXEXTRACT(C38,"(?&lt;=//)[^/]+")</f>
        <v>old.reddit.com</v>
      </c>
      <c r="R38" s="1" t="str" cm="1">
        <f t="array" ref="R38">IF(D38&lt;&gt;"z-text-or-comment",_xlfn.REGEXEXTRACT(D38,"(?&lt;=//)[^/]+"),"z-text-or-comment")</f>
        <v>i.redd.it</v>
      </c>
      <c r="S38" s="1" t="s">
        <v>436</v>
      </c>
      <c r="T38" s="1" t="s">
        <v>424</v>
      </c>
      <c r="U38" s="1" t="s">
        <v>30</v>
      </c>
      <c r="V38" s="1" t="s">
        <v>680</v>
      </c>
    </row>
    <row r="39" spans="1:22" ht="45" x14ac:dyDescent="0.25">
      <c r="A39" s="1" t="str">
        <f t="shared" si="1"/>
        <v>Done</v>
      </c>
      <c r="B39" s="1" t="s">
        <v>70</v>
      </c>
      <c r="C39" s="1" t="s">
        <v>102</v>
      </c>
      <c r="D39" s="1" t="s">
        <v>187</v>
      </c>
      <c r="E39" s="1" t="s">
        <v>276</v>
      </c>
      <c r="F39" s="1" t="s">
        <v>67</v>
      </c>
      <c r="G39" s="1" t="s">
        <v>389</v>
      </c>
      <c r="H39" s="1" t="s">
        <v>67</v>
      </c>
      <c r="I39" s="1" t="s">
        <v>329</v>
      </c>
      <c r="J39" s="1" t="s">
        <v>30</v>
      </c>
      <c r="K39" s="1" t="s">
        <v>9</v>
      </c>
      <c r="L39" s="1" t="s">
        <v>614</v>
      </c>
      <c r="M39" s="1" t="s">
        <v>427</v>
      </c>
      <c r="N39" s="1" t="s">
        <v>3</v>
      </c>
      <c r="O39" s="1">
        <v>4</v>
      </c>
      <c r="P39" s="1" t="s">
        <v>621</v>
      </c>
      <c r="Q39" s="1" t="str" cm="1">
        <f t="array" ref="Q39">_xlfn.REGEXEXTRACT(C39,"(?&lt;=//)[^/]+")</f>
        <v>old.reddit.com</v>
      </c>
      <c r="R39" s="1" t="str" cm="1">
        <f t="array" ref="R39">IF(D39&lt;&gt;"z-text-or-comment",_xlfn.REGEXEXTRACT(D39,"(?&lt;=//)[^/]+"),"z-text-or-comment")</f>
        <v>redgifs.com</v>
      </c>
      <c r="S39" s="1" t="s">
        <v>436</v>
      </c>
      <c r="T39" s="1" t="s">
        <v>444</v>
      </c>
      <c r="U39" s="1" t="s">
        <v>30</v>
      </c>
      <c r="V39" s="1" t="s">
        <v>680</v>
      </c>
    </row>
    <row r="40" spans="1:22" ht="45" x14ac:dyDescent="0.25">
      <c r="A40" s="1" t="str">
        <f t="shared" si="1"/>
        <v>Done</v>
      </c>
      <c r="B40" s="1" t="s">
        <v>70</v>
      </c>
      <c r="C40" s="1" t="s">
        <v>103</v>
      </c>
      <c r="D40" s="1" t="s">
        <v>188</v>
      </c>
      <c r="E40" s="1" t="s">
        <v>276</v>
      </c>
      <c r="F40" s="1" t="s">
        <v>67</v>
      </c>
      <c r="G40" s="1" t="s">
        <v>389</v>
      </c>
      <c r="H40" s="1" t="s">
        <v>67</v>
      </c>
      <c r="I40" s="1" t="s">
        <v>330</v>
      </c>
      <c r="J40" s="1" t="s">
        <v>30</v>
      </c>
      <c r="K40" s="1" t="s">
        <v>9</v>
      </c>
      <c r="L40" s="1" t="s">
        <v>582</v>
      </c>
      <c r="M40" s="1" t="s">
        <v>427</v>
      </c>
      <c r="N40" s="1" t="s">
        <v>3</v>
      </c>
      <c r="O40" s="1">
        <v>5</v>
      </c>
      <c r="P40" s="1" t="s">
        <v>506</v>
      </c>
      <c r="Q40" s="1" t="str" cm="1">
        <f t="array" ref="Q40">_xlfn.REGEXEXTRACT(C40,"(?&lt;=//)[^/]+")</f>
        <v>old.reddit.com</v>
      </c>
      <c r="R40" s="1" t="str" cm="1">
        <f t="array" ref="R40">IF(D40&lt;&gt;"z-text-or-comment",_xlfn.REGEXEXTRACT(D40,"(?&lt;=//)[^/]+"),"z-text-or-comment")</f>
        <v>www.redgifs.com</v>
      </c>
      <c r="S40" s="1" t="s">
        <v>436</v>
      </c>
      <c r="T40" s="1" t="s">
        <v>452</v>
      </c>
      <c r="U40" s="1" t="s">
        <v>30</v>
      </c>
      <c r="V40" s="1" t="s">
        <v>680</v>
      </c>
    </row>
    <row r="41" spans="1:22" ht="45" x14ac:dyDescent="0.25">
      <c r="A41" s="1" t="str">
        <f t="shared" si="1"/>
        <v>Done</v>
      </c>
      <c r="B41" s="1" t="s">
        <v>72</v>
      </c>
      <c r="C41" s="1" t="s">
        <v>104</v>
      </c>
      <c r="D41" s="1" t="s">
        <v>415</v>
      </c>
      <c r="E41" s="1" t="s">
        <v>276</v>
      </c>
      <c r="F41" s="1" t="s">
        <v>231</v>
      </c>
      <c r="G41" s="1" t="s">
        <v>389</v>
      </c>
      <c r="H41" s="1" t="s">
        <v>231</v>
      </c>
      <c r="I41" s="1" t="s">
        <v>330</v>
      </c>
      <c r="J41" s="1" t="s">
        <v>418</v>
      </c>
      <c r="K41" s="1" t="s">
        <v>9</v>
      </c>
      <c r="L41" s="1" t="s">
        <v>525</v>
      </c>
      <c r="M41" s="1" t="s">
        <v>415</v>
      </c>
      <c r="N41" s="1" t="s">
        <v>3</v>
      </c>
      <c r="O41" s="1">
        <v>1</v>
      </c>
      <c r="P41" s="1" t="s">
        <v>514</v>
      </c>
      <c r="Q41" s="1" t="str" cm="1">
        <f t="array" ref="Q41">_xlfn.REGEXEXTRACT(C41,"(?&lt;=//)[^/]+")</f>
        <v>old.reddit.com</v>
      </c>
      <c r="R41" s="1" t="str" cm="1">
        <f t="array" ref="R41">IF(D41&lt;&gt;"z-text-or-comment",_xlfn.REGEXEXTRACT(D41,"(?&lt;=//)[^/]+"),"z-text-or-comment")</f>
        <v>z-text-or-comment</v>
      </c>
      <c r="S41" s="1" t="s">
        <v>436</v>
      </c>
      <c r="T41" s="1" t="s">
        <v>418</v>
      </c>
      <c r="U41" s="1" t="s">
        <v>30</v>
      </c>
      <c r="V41" s="1" t="s">
        <v>680</v>
      </c>
    </row>
    <row r="42" spans="1:22" ht="45" x14ac:dyDescent="0.25">
      <c r="A42" s="1" t="str">
        <f t="shared" si="1"/>
        <v>Done</v>
      </c>
      <c r="B42" s="1" t="s">
        <v>70</v>
      </c>
      <c r="C42" s="1" t="s">
        <v>105</v>
      </c>
      <c r="D42" s="1" t="s">
        <v>189</v>
      </c>
      <c r="E42" s="1" t="s">
        <v>276</v>
      </c>
      <c r="F42" s="1" t="s">
        <v>67</v>
      </c>
      <c r="G42" s="1" t="s">
        <v>389</v>
      </c>
      <c r="H42" s="1" t="s">
        <v>67</v>
      </c>
      <c r="I42" s="1" t="s">
        <v>331</v>
      </c>
      <c r="J42" s="1" t="s">
        <v>30</v>
      </c>
      <c r="K42" s="1" t="s">
        <v>9</v>
      </c>
      <c r="L42" s="1" t="s">
        <v>592</v>
      </c>
      <c r="M42" s="1" t="s">
        <v>574</v>
      </c>
      <c r="N42" s="1" t="s">
        <v>3</v>
      </c>
      <c r="O42" s="1">
        <v>5</v>
      </c>
      <c r="P42" s="1" t="s">
        <v>593</v>
      </c>
      <c r="Q42" s="1" t="str" cm="1">
        <f t="array" ref="Q42">_xlfn.REGEXEXTRACT(C42,"(?&lt;=//)[^/]+")</f>
        <v>old.reddit.com</v>
      </c>
      <c r="R42" s="1" t="str" cm="1">
        <f t="array" ref="R42">IF(D42&lt;&gt;"z-text-or-comment",_xlfn.REGEXEXTRACT(D42,"(?&lt;=//)[^/]+"),"z-text-or-comment")</f>
        <v>redgifs.com</v>
      </c>
      <c r="S42" s="1" t="s">
        <v>436</v>
      </c>
      <c r="T42" s="1" t="s">
        <v>443</v>
      </c>
      <c r="U42" s="1" t="s">
        <v>30</v>
      </c>
      <c r="V42" s="1" t="s">
        <v>680</v>
      </c>
    </row>
    <row r="43" spans="1:22" ht="60" x14ac:dyDescent="0.25">
      <c r="A43" s="1" t="str">
        <f t="shared" si="1"/>
        <v>Done</v>
      </c>
      <c r="B43" s="1" t="s">
        <v>70</v>
      </c>
      <c r="C43" s="1" t="s">
        <v>77</v>
      </c>
      <c r="D43" s="1" t="s">
        <v>164</v>
      </c>
      <c r="E43" s="1" t="s">
        <v>276</v>
      </c>
      <c r="F43" s="1" t="s">
        <v>67</v>
      </c>
      <c r="G43" s="1" t="s">
        <v>389</v>
      </c>
      <c r="H43" s="1" t="s">
        <v>67</v>
      </c>
      <c r="I43" s="1" t="s">
        <v>306</v>
      </c>
      <c r="J43" s="1" t="s">
        <v>30</v>
      </c>
      <c r="K43" s="1" t="s">
        <v>9</v>
      </c>
      <c r="L43" s="1" t="s">
        <v>642</v>
      </c>
      <c r="M43" s="1" t="s">
        <v>574</v>
      </c>
      <c r="N43" s="1" t="s">
        <v>3</v>
      </c>
      <c r="O43" s="1">
        <v>3</v>
      </c>
      <c r="P43" s="1" t="s">
        <v>643</v>
      </c>
      <c r="Q43" s="1" t="str" cm="1">
        <f t="array" ref="Q43">_xlfn.REGEXEXTRACT(C43,"(?&lt;=//)[^/]+")</f>
        <v>old.reddit.com</v>
      </c>
      <c r="R43" s="1" t="str" cm="1">
        <f t="array" ref="R43">IF(D43&lt;&gt;"z-text-or-comment",_xlfn.REGEXEXTRACT(D43,"(?&lt;=//)[^/]+"),"z-text-or-comment")</f>
        <v>redgifs.com</v>
      </c>
      <c r="S43" s="1" t="s">
        <v>436</v>
      </c>
      <c r="T43" s="1" t="s">
        <v>447</v>
      </c>
      <c r="U43" s="1" t="s">
        <v>30</v>
      </c>
      <c r="V43" s="1" t="s">
        <v>436</v>
      </c>
    </row>
    <row r="44" spans="1:22" ht="45" x14ac:dyDescent="0.25">
      <c r="A44" s="1" t="str">
        <f t="shared" si="1"/>
        <v>Done</v>
      </c>
      <c r="B44" s="1" t="s">
        <v>70</v>
      </c>
      <c r="C44" s="1" t="s">
        <v>163</v>
      </c>
      <c r="D44" s="1" t="s">
        <v>228</v>
      </c>
      <c r="E44" s="1" t="s">
        <v>276</v>
      </c>
      <c r="F44" s="1" t="s">
        <v>274</v>
      </c>
      <c r="G44" s="1" t="s">
        <v>389</v>
      </c>
      <c r="H44" s="1" t="s">
        <v>274</v>
      </c>
      <c r="I44" s="1" t="s">
        <v>384</v>
      </c>
      <c r="J44" s="1" t="s">
        <v>30</v>
      </c>
      <c r="K44" s="1" t="s">
        <v>9</v>
      </c>
      <c r="L44" s="1" t="s">
        <v>571</v>
      </c>
      <c r="M44" s="1" t="s">
        <v>391</v>
      </c>
      <c r="N44" s="1" t="s">
        <v>3</v>
      </c>
      <c r="O44" s="1">
        <v>2</v>
      </c>
      <c r="P44" s="1" t="s">
        <v>572</v>
      </c>
      <c r="Q44" s="1" t="str" cm="1">
        <f t="array" ref="Q44">_xlfn.REGEXEXTRACT(C44,"(?&lt;=//)[^/]+")</f>
        <v>old.reddit.com</v>
      </c>
      <c r="R44" s="1" t="str" cm="1">
        <f t="array" ref="R44">IF(D44&lt;&gt;"z-text-or-comment",_xlfn.REGEXEXTRACT(D44,"(?&lt;=//)[^/]+"),"z-text-or-comment")</f>
        <v>i.redd.it</v>
      </c>
      <c r="S44" s="1" t="s">
        <v>436</v>
      </c>
      <c r="T44" s="1" t="s">
        <v>441</v>
      </c>
      <c r="U44" s="1" t="s">
        <v>30</v>
      </c>
      <c r="V44" s="1" t="s">
        <v>680</v>
      </c>
    </row>
    <row r="45" spans="1:22" ht="45" x14ac:dyDescent="0.25">
      <c r="A45" s="1" t="str">
        <f t="shared" si="1"/>
        <v>Done</v>
      </c>
      <c r="B45" s="1" t="s">
        <v>71</v>
      </c>
      <c r="C45" s="1" t="s">
        <v>151</v>
      </c>
      <c r="D45" s="1" t="s">
        <v>415</v>
      </c>
      <c r="E45" s="1" t="s">
        <v>302</v>
      </c>
      <c r="F45" s="1" t="s">
        <v>264</v>
      </c>
      <c r="G45" s="1" t="s">
        <v>389</v>
      </c>
      <c r="H45" s="1" t="s">
        <v>264</v>
      </c>
      <c r="I45" s="1" t="s">
        <v>374</v>
      </c>
      <c r="J45" s="1" t="s">
        <v>669</v>
      </c>
      <c r="K45" s="1" t="s">
        <v>9</v>
      </c>
      <c r="L45" s="1" t="s">
        <v>528</v>
      </c>
      <c r="M45" s="1" t="s">
        <v>415</v>
      </c>
      <c r="N45" s="1" t="s">
        <v>3</v>
      </c>
      <c r="O45" s="1">
        <v>4</v>
      </c>
      <c r="P45" s="1" t="s">
        <v>526</v>
      </c>
      <c r="Q45" s="1" t="str" cm="1">
        <f t="array" ref="Q45">_xlfn.REGEXEXTRACT(C45,"(?&lt;=//)[^/]+")</f>
        <v>old.reddit.com</v>
      </c>
      <c r="R45" s="1" t="str" cm="1">
        <f t="array" ref="R45">IF(D45&lt;&gt;"z-text-or-comment",_xlfn.REGEXEXTRACT(D45,"(?&lt;=//)[^/]+"),"z-text-or-comment")</f>
        <v>z-text-or-comment</v>
      </c>
      <c r="S45" s="1" t="s">
        <v>436</v>
      </c>
      <c r="T45" s="1" t="s">
        <v>669</v>
      </c>
      <c r="U45" s="1" t="s">
        <v>30</v>
      </c>
      <c r="V45" s="1" t="s">
        <v>680</v>
      </c>
    </row>
    <row r="46" spans="1:22" ht="45" x14ac:dyDescent="0.25">
      <c r="A46" s="1" t="str">
        <f t="shared" si="1"/>
        <v>Done</v>
      </c>
      <c r="B46" s="1" t="s">
        <v>70</v>
      </c>
      <c r="C46" s="1" t="s">
        <v>132</v>
      </c>
      <c r="D46" s="1" t="s">
        <v>202</v>
      </c>
      <c r="E46" s="1" t="s">
        <v>293</v>
      </c>
      <c r="F46" s="1" t="s">
        <v>252</v>
      </c>
      <c r="G46" s="1" t="s">
        <v>401</v>
      </c>
      <c r="H46" s="1" t="s">
        <v>400</v>
      </c>
      <c r="I46" s="1" t="s">
        <v>355</v>
      </c>
      <c r="J46" s="1" t="s">
        <v>30</v>
      </c>
      <c r="K46" s="1" t="s">
        <v>66</v>
      </c>
      <c r="L46" s="1" t="s">
        <v>402</v>
      </c>
      <c r="M46" s="1" t="s">
        <v>403</v>
      </c>
      <c r="N46" s="1" t="s">
        <v>3</v>
      </c>
      <c r="O46" s="1">
        <v>5</v>
      </c>
      <c r="P46" s="1" t="s">
        <v>405</v>
      </c>
      <c r="Q46" s="1" t="str" cm="1">
        <f t="array" ref="Q46">_xlfn.REGEXEXTRACT(C46,"(?&lt;=//)[^/]+")</f>
        <v>old.reddit.com</v>
      </c>
      <c r="R46" s="1" t="str" cm="1">
        <f t="array" ref="R46">IF(D46&lt;&gt;"z-text-or-comment",_xlfn.REGEXEXTRACT(D46,"(?&lt;=//)[^/]+"),"z-text-or-comment")</f>
        <v>www.redgifs.com</v>
      </c>
      <c r="S46" s="1" t="s">
        <v>436</v>
      </c>
      <c r="T46" s="1" t="s">
        <v>439</v>
      </c>
      <c r="U46" s="1" t="s">
        <v>30</v>
      </c>
      <c r="V46" s="1" t="s">
        <v>680</v>
      </c>
    </row>
    <row r="47" spans="1:22" ht="45" x14ac:dyDescent="0.25">
      <c r="A47" s="1" t="str">
        <f t="shared" si="1"/>
        <v>Done</v>
      </c>
      <c r="B47" s="1" t="s">
        <v>70</v>
      </c>
      <c r="C47" s="1" t="s">
        <v>157</v>
      </c>
      <c r="D47" s="1" t="s">
        <v>222</v>
      </c>
      <c r="E47" s="1" t="s">
        <v>304</v>
      </c>
      <c r="F47" s="1" t="s">
        <v>270</v>
      </c>
      <c r="G47" s="1" t="s">
        <v>389</v>
      </c>
      <c r="H47" s="1" t="s">
        <v>270</v>
      </c>
      <c r="I47" s="1" t="s">
        <v>378</v>
      </c>
      <c r="J47" s="1" t="s">
        <v>30</v>
      </c>
      <c r="K47" s="1" t="s">
        <v>9</v>
      </c>
      <c r="L47" s="1" t="s">
        <v>624</v>
      </c>
      <c r="M47" s="1" t="s">
        <v>497</v>
      </c>
      <c r="N47" s="1" t="s">
        <v>3</v>
      </c>
      <c r="O47" s="1">
        <v>8</v>
      </c>
      <c r="P47" s="1" t="s">
        <v>625</v>
      </c>
      <c r="Q47" s="1" t="str" cm="1">
        <f t="array" ref="Q47">_xlfn.REGEXEXTRACT(C47,"(?&lt;=//)[^/]+")</f>
        <v>old.reddit.com</v>
      </c>
      <c r="R47" s="1" t="str" cm="1">
        <f t="array" ref="R47">IF(D47&lt;&gt;"z-text-or-comment",_xlfn.REGEXEXTRACT(D47,"(?&lt;=//)[^/]+"),"z-text-or-comment")</f>
        <v>www.redgifs.com</v>
      </c>
      <c r="S47" s="1" t="s">
        <v>436</v>
      </c>
      <c r="T47" s="1" t="s">
        <v>464</v>
      </c>
      <c r="U47" s="1" t="s">
        <v>30</v>
      </c>
      <c r="V47" s="1" t="s">
        <v>680</v>
      </c>
    </row>
    <row r="48" spans="1:22" ht="45" x14ac:dyDescent="0.25">
      <c r="A48" s="1" t="str">
        <f t="shared" si="1"/>
        <v>Done</v>
      </c>
      <c r="B48" s="1" t="s">
        <v>71</v>
      </c>
      <c r="C48" s="1" t="s">
        <v>153</v>
      </c>
      <c r="D48" s="1" t="s">
        <v>415</v>
      </c>
      <c r="E48" s="1" t="s">
        <v>304</v>
      </c>
      <c r="F48" s="1" t="s">
        <v>266</v>
      </c>
      <c r="G48" s="1" t="s">
        <v>389</v>
      </c>
      <c r="H48" s="1" t="s">
        <v>266</v>
      </c>
      <c r="I48" s="1" t="s">
        <v>376</v>
      </c>
      <c r="J48" s="1" t="s">
        <v>665</v>
      </c>
      <c r="K48" s="1" t="s">
        <v>9</v>
      </c>
      <c r="L48" s="1" t="s">
        <v>519</v>
      </c>
      <c r="M48" s="1" t="s">
        <v>415</v>
      </c>
      <c r="N48" s="1" t="s">
        <v>3</v>
      </c>
      <c r="O48" s="1">
        <v>3</v>
      </c>
      <c r="P48" s="1" t="s">
        <v>518</v>
      </c>
      <c r="Q48" s="1" t="str" cm="1">
        <f t="array" ref="Q48">_xlfn.REGEXEXTRACT(C48,"(?&lt;=//)[^/]+")</f>
        <v>old.reddit.com</v>
      </c>
      <c r="R48" s="1" t="str" cm="1">
        <f t="array" ref="R48">IF(D48&lt;&gt;"z-text-or-comment",_xlfn.REGEXEXTRACT(D48,"(?&lt;=//)[^/]+"),"z-text-or-comment")</f>
        <v>z-text-or-comment</v>
      </c>
      <c r="S48" s="1" t="s">
        <v>436</v>
      </c>
      <c r="T48" s="1" t="s">
        <v>665</v>
      </c>
      <c r="U48" s="1" t="s">
        <v>30</v>
      </c>
      <c r="V48" s="1" t="s">
        <v>680</v>
      </c>
    </row>
    <row r="49" spans="1:22" ht="90" x14ac:dyDescent="0.25">
      <c r="A49" s="1" t="str">
        <f t="shared" si="1"/>
        <v>Done</v>
      </c>
      <c r="B49" s="1" t="s">
        <v>72</v>
      </c>
      <c r="C49" s="1" t="s">
        <v>154</v>
      </c>
      <c r="D49" s="1" t="s">
        <v>415</v>
      </c>
      <c r="E49" s="1" t="s">
        <v>304</v>
      </c>
      <c r="F49" s="1" t="s">
        <v>267</v>
      </c>
      <c r="G49" s="1" t="s">
        <v>389</v>
      </c>
      <c r="H49" s="1" t="s">
        <v>267</v>
      </c>
      <c r="I49" s="1" t="s">
        <v>376</v>
      </c>
      <c r="J49" s="1" t="s">
        <v>665</v>
      </c>
      <c r="K49" s="1" t="s">
        <v>9</v>
      </c>
      <c r="L49" s="1" t="s">
        <v>539</v>
      </c>
      <c r="M49" s="1" t="s">
        <v>415</v>
      </c>
      <c r="N49" s="1" t="s">
        <v>3</v>
      </c>
      <c r="O49" s="1">
        <v>9</v>
      </c>
      <c r="P49" s="1" t="s">
        <v>515</v>
      </c>
      <c r="Q49" s="1" t="str" cm="1">
        <f t="array" ref="Q49">_xlfn.REGEXEXTRACT(C49,"(?&lt;=//)[^/]+")</f>
        <v>old.reddit.com</v>
      </c>
      <c r="R49" s="1" t="str" cm="1">
        <f t="array" ref="R49">IF(D49&lt;&gt;"z-text-or-comment",_xlfn.REGEXEXTRACT(D49,"(?&lt;=//)[^/]+"),"z-text-or-comment")</f>
        <v>z-text-or-comment</v>
      </c>
      <c r="S49" s="1" t="s">
        <v>436</v>
      </c>
      <c r="T49" s="1" t="s">
        <v>665</v>
      </c>
      <c r="U49" s="1" t="s">
        <v>30</v>
      </c>
      <c r="V49" s="1" t="s">
        <v>680</v>
      </c>
    </row>
    <row r="50" spans="1:22" ht="45" x14ac:dyDescent="0.25">
      <c r="A50" s="1" t="str">
        <f t="shared" si="1"/>
        <v>Done</v>
      </c>
      <c r="B50" s="1" t="s">
        <v>72</v>
      </c>
      <c r="C50" s="1" t="s">
        <v>155</v>
      </c>
      <c r="D50" s="1" t="s">
        <v>415</v>
      </c>
      <c r="E50" s="1" t="s">
        <v>304</v>
      </c>
      <c r="F50" s="1" t="s">
        <v>268</v>
      </c>
      <c r="G50" s="1" t="s">
        <v>389</v>
      </c>
      <c r="H50" s="1" t="s">
        <v>268</v>
      </c>
      <c r="I50" s="1" t="s">
        <v>376</v>
      </c>
      <c r="J50" s="1" t="s">
        <v>665</v>
      </c>
      <c r="K50" s="1" t="s">
        <v>9</v>
      </c>
      <c r="L50" s="1" t="s">
        <v>516</v>
      </c>
      <c r="M50" s="1" t="s">
        <v>415</v>
      </c>
      <c r="N50" s="1" t="s">
        <v>3</v>
      </c>
      <c r="O50" s="1">
        <v>5</v>
      </c>
      <c r="P50" s="1" t="s">
        <v>517</v>
      </c>
      <c r="Q50" s="1" t="str" cm="1">
        <f t="array" ref="Q50">_xlfn.REGEXEXTRACT(C50,"(?&lt;=//)[^/]+")</f>
        <v>old.reddit.com</v>
      </c>
      <c r="R50" s="1" t="str" cm="1">
        <f t="array" ref="R50">IF(D50&lt;&gt;"z-text-or-comment",_xlfn.REGEXEXTRACT(D50,"(?&lt;=//)[^/]+"),"z-text-or-comment")</f>
        <v>z-text-or-comment</v>
      </c>
      <c r="S50" s="1" t="s">
        <v>436</v>
      </c>
      <c r="T50" s="1" t="s">
        <v>665</v>
      </c>
      <c r="U50" s="1" t="s">
        <v>30</v>
      </c>
      <c r="V50" s="1" t="s">
        <v>680</v>
      </c>
    </row>
    <row r="51" spans="1:22" ht="45" x14ac:dyDescent="0.25">
      <c r="A51" s="1" t="str">
        <f t="shared" si="1"/>
        <v>Done</v>
      </c>
      <c r="B51" s="1" t="s">
        <v>71</v>
      </c>
      <c r="C51" s="1" t="s">
        <v>156</v>
      </c>
      <c r="D51" s="1" t="s">
        <v>415</v>
      </c>
      <c r="E51" s="1" t="s">
        <v>305</v>
      </c>
      <c r="F51" s="1" t="s">
        <v>269</v>
      </c>
      <c r="G51" s="1" t="s">
        <v>389</v>
      </c>
      <c r="H51" s="1" t="s">
        <v>269</v>
      </c>
      <c r="I51" s="1" t="s">
        <v>377</v>
      </c>
      <c r="J51" s="1" t="s">
        <v>422</v>
      </c>
      <c r="K51" s="1" t="s">
        <v>9</v>
      </c>
      <c r="L51" s="1" t="s">
        <v>535</v>
      </c>
      <c r="M51" s="1" t="s">
        <v>415</v>
      </c>
      <c r="N51" s="1" t="s">
        <v>3</v>
      </c>
      <c r="O51" s="1">
        <v>6</v>
      </c>
      <c r="P51" s="1" t="s">
        <v>509</v>
      </c>
      <c r="Q51" s="1" t="str" cm="1">
        <f t="array" ref="Q51">_xlfn.REGEXEXTRACT(C51,"(?&lt;=//)[^/]+")</f>
        <v>old.reddit.com</v>
      </c>
      <c r="R51" s="1" t="str" cm="1">
        <f t="array" ref="R51">IF(D51&lt;&gt;"z-text-or-comment",_xlfn.REGEXEXTRACT(D51,"(?&lt;=//)[^/]+"),"z-text-or-comment")</f>
        <v>z-text-or-comment</v>
      </c>
      <c r="S51" s="1" t="s">
        <v>436</v>
      </c>
      <c r="T51" s="1" t="s">
        <v>422</v>
      </c>
      <c r="U51" s="1" t="s">
        <v>30</v>
      </c>
      <c r="V51" s="1" t="s">
        <v>680</v>
      </c>
    </row>
    <row r="52" spans="1:22" ht="105" x14ac:dyDescent="0.25">
      <c r="A52" s="1" t="str">
        <f t="shared" si="1"/>
        <v>Done</v>
      </c>
      <c r="B52" s="1" t="s">
        <v>72</v>
      </c>
      <c r="C52" s="1" t="s">
        <v>434</v>
      </c>
      <c r="D52" s="1" t="s">
        <v>415</v>
      </c>
      <c r="E52" s="1" t="s">
        <v>305</v>
      </c>
      <c r="F52" s="1" t="s">
        <v>269</v>
      </c>
      <c r="G52" s="1" t="s">
        <v>389</v>
      </c>
      <c r="H52" s="1" t="s">
        <v>269</v>
      </c>
      <c r="I52" s="1" t="s">
        <v>377</v>
      </c>
      <c r="J52" s="1" t="s">
        <v>422</v>
      </c>
      <c r="K52" s="1" t="s">
        <v>9</v>
      </c>
      <c r="L52" s="1" t="s">
        <v>527</v>
      </c>
      <c r="M52" s="1" t="s">
        <v>415</v>
      </c>
      <c r="N52" s="1" t="s">
        <v>3</v>
      </c>
      <c r="O52" s="1">
        <v>9</v>
      </c>
      <c r="P52" s="1" t="s">
        <v>508</v>
      </c>
      <c r="Q52" s="1" t="str" cm="1">
        <f t="array" ref="Q52">_xlfn.REGEXEXTRACT(C52,"(?&lt;=//)[^/]+")</f>
        <v>old.reddit.com</v>
      </c>
      <c r="R52" s="1" t="str" cm="1">
        <f t="array" ref="R52">IF(D52&lt;&gt;"z-text-or-comment",_xlfn.REGEXEXTRACT(D52,"(?&lt;=//)[^/]+"),"z-text-or-comment")</f>
        <v>z-text-or-comment</v>
      </c>
      <c r="S52" s="1" t="s">
        <v>436</v>
      </c>
      <c r="T52" s="1" t="s">
        <v>422</v>
      </c>
      <c r="U52" s="1" t="s">
        <v>30</v>
      </c>
      <c r="V52" s="1" t="s">
        <v>680</v>
      </c>
    </row>
    <row r="53" spans="1:22" ht="30" x14ac:dyDescent="0.25">
      <c r="A53" s="1" t="str">
        <f t="shared" si="1"/>
        <v>Done</v>
      </c>
      <c r="B53" s="1" t="s">
        <v>70</v>
      </c>
      <c r="C53" s="1" t="s">
        <v>161</v>
      </c>
      <c r="D53" s="1" t="s">
        <v>226</v>
      </c>
      <c r="E53" s="1" t="s">
        <v>290</v>
      </c>
      <c r="F53" s="1" t="s">
        <v>75</v>
      </c>
      <c r="G53" s="1" t="s">
        <v>389</v>
      </c>
      <c r="H53" s="1" t="s">
        <v>75</v>
      </c>
      <c r="I53" s="1" t="s">
        <v>382</v>
      </c>
      <c r="J53" s="1" t="s">
        <v>30</v>
      </c>
      <c r="K53" s="1" t="s">
        <v>9</v>
      </c>
      <c r="L53" s="1" t="s">
        <v>636</v>
      </c>
      <c r="M53" s="1" t="s">
        <v>574</v>
      </c>
      <c r="N53" s="1" t="s">
        <v>3</v>
      </c>
      <c r="O53" s="1">
        <v>7</v>
      </c>
      <c r="P53" s="1" t="s">
        <v>637</v>
      </c>
      <c r="Q53" s="1" t="str" cm="1">
        <f t="array" ref="Q53">_xlfn.REGEXEXTRACT(C53,"(?&lt;=//)[^/]+")</f>
        <v>old.reddit.com</v>
      </c>
      <c r="R53" s="1" t="str" cm="1">
        <f t="array" ref="R53">IF(D53&lt;&gt;"z-text-or-comment",_xlfn.REGEXEXTRACT(D53,"(?&lt;=//)[^/]+"),"z-text-or-comment")</f>
        <v>www.redgifs.com</v>
      </c>
      <c r="S53" s="1" t="s">
        <v>436</v>
      </c>
      <c r="T53" s="1" t="s">
        <v>473</v>
      </c>
      <c r="U53" s="1" t="s">
        <v>30</v>
      </c>
      <c r="V53" s="1" t="s">
        <v>680</v>
      </c>
    </row>
    <row r="54" spans="1:22" ht="45" x14ac:dyDescent="0.25">
      <c r="A54" s="1" t="str">
        <f t="shared" si="1"/>
        <v>Done</v>
      </c>
      <c r="B54" s="1" t="s">
        <v>70</v>
      </c>
      <c r="C54" s="1" t="s">
        <v>128</v>
      </c>
      <c r="D54" s="1" t="s">
        <v>199</v>
      </c>
      <c r="E54" s="1" t="s">
        <v>290</v>
      </c>
      <c r="F54" s="1" t="s">
        <v>250</v>
      </c>
      <c r="G54" s="1" t="s">
        <v>389</v>
      </c>
      <c r="H54" s="1" t="s">
        <v>250</v>
      </c>
      <c r="I54" s="1" t="s">
        <v>351</v>
      </c>
      <c r="J54" s="1" t="s">
        <v>30</v>
      </c>
      <c r="K54" s="1" t="s">
        <v>9</v>
      </c>
      <c r="L54" s="1" t="s">
        <v>650</v>
      </c>
      <c r="M54" s="1" t="s">
        <v>403</v>
      </c>
      <c r="N54" s="1" t="s">
        <v>3</v>
      </c>
      <c r="O54" s="1">
        <v>4</v>
      </c>
      <c r="P54" s="1" t="s">
        <v>651</v>
      </c>
      <c r="Q54" s="1" t="str" cm="1">
        <f t="array" ref="Q54">_xlfn.REGEXEXTRACT(C54,"(?&lt;=//)[^/]+")</f>
        <v>old.reddit.com</v>
      </c>
      <c r="R54" s="1" t="str" cm="1">
        <f t="array" ref="R54">IF(D54&lt;&gt;"z-text-or-comment",_xlfn.REGEXEXTRACT(D54,"(?&lt;=//)[^/]+"),"z-text-or-comment")</f>
        <v>redgifs.com</v>
      </c>
      <c r="S54" s="1" t="s">
        <v>436</v>
      </c>
      <c r="T54" s="1" t="s">
        <v>448</v>
      </c>
      <c r="U54" s="1" t="s">
        <v>30</v>
      </c>
      <c r="V54" s="1" t="s">
        <v>680</v>
      </c>
    </row>
    <row r="55" spans="1:22" ht="45" x14ac:dyDescent="0.25">
      <c r="A55" s="1" t="str">
        <f t="shared" si="1"/>
        <v>Done</v>
      </c>
      <c r="B55" s="1" t="s">
        <v>70</v>
      </c>
      <c r="C55" s="1" t="s">
        <v>160</v>
      </c>
      <c r="D55" s="1" t="s">
        <v>225</v>
      </c>
      <c r="E55" s="1" t="s">
        <v>297</v>
      </c>
      <c r="F55" s="1" t="s">
        <v>273</v>
      </c>
      <c r="G55" s="1" t="s">
        <v>389</v>
      </c>
      <c r="H55" s="1" t="s">
        <v>273</v>
      </c>
      <c r="I55" s="1" t="s">
        <v>381</v>
      </c>
      <c r="J55" s="1" t="s">
        <v>30</v>
      </c>
      <c r="K55" s="1" t="s">
        <v>9</v>
      </c>
      <c r="L55" s="1" t="s">
        <v>604</v>
      </c>
      <c r="M55" s="1" t="s">
        <v>574</v>
      </c>
      <c r="N55" s="1" t="s">
        <v>3</v>
      </c>
      <c r="O55" s="1">
        <v>7</v>
      </c>
      <c r="P55" s="1" t="s">
        <v>605</v>
      </c>
      <c r="Q55" s="1" t="str" cm="1">
        <f t="array" ref="Q55">_xlfn.REGEXEXTRACT(C55,"(?&lt;=//)[^/]+")</f>
        <v>old.reddit.com</v>
      </c>
      <c r="R55" s="1" t="str" cm="1">
        <f t="array" ref="R55">IF(D55&lt;&gt;"z-text-or-comment",_xlfn.REGEXEXTRACT(D55,"(?&lt;=//)[^/]+"),"z-text-or-comment")</f>
        <v>www.redgifs.com</v>
      </c>
      <c r="S55" s="1" t="s">
        <v>436</v>
      </c>
      <c r="T55" s="1" t="s">
        <v>491</v>
      </c>
      <c r="U55" s="1" t="s">
        <v>679</v>
      </c>
      <c r="V55" s="1" t="s">
        <v>680</v>
      </c>
    </row>
    <row r="56" spans="1:22" ht="45" x14ac:dyDescent="0.25">
      <c r="A56" s="1" t="str">
        <f t="shared" si="1"/>
        <v>Done</v>
      </c>
      <c r="B56" s="1" t="s">
        <v>70</v>
      </c>
      <c r="C56" s="1" t="s">
        <v>158</v>
      </c>
      <c r="D56" s="1" t="s">
        <v>223</v>
      </c>
      <c r="E56" s="1" t="s">
        <v>297</v>
      </c>
      <c r="F56" s="1" t="s">
        <v>271</v>
      </c>
      <c r="G56" s="1" t="s">
        <v>389</v>
      </c>
      <c r="H56" s="1" t="s">
        <v>271</v>
      </c>
      <c r="I56" s="1" t="s">
        <v>379</v>
      </c>
      <c r="J56" s="1" t="s">
        <v>30</v>
      </c>
      <c r="K56" s="1" t="s">
        <v>9</v>
      </c>
      <c r="L56" s="1" t="s">
        <v>596</v>
      </c>
      <c r="M56" s="1" t="s">
        <v>497</v>
      </c>
      <c r="N56" s="1" t="s">
        <v>3</v>
      </c>
      <c r="O56" s="1">
        <v>7</v>
      </c>
      <c r="P56" s="1" t="s">
        <v>597</v>
      </c>
      <c r="Q56" s="1" t="str" cm="1">
        <f t="array" ref="Q56">_xlfn.REGEXEXTRACT(C56,"(?&lt;=//)[^/]+")</f>
        <v>old.reddit.com</v>
      </c>
      <c r="R56" s="1" t="str" cm="1">
        <f t="array" ref="R56">IF(D56&lt;&gt;"z-text-or-comment",_xlfn.REGEXEXTRACT(D56,"(?&lt;=//)[^/]+"),"z-text-or-comment")</f>
        <v>www.redgifs.com</v>
      </c>
      <c r="S56" s="1" t="s">
        <v>436</v>
      </c>
      <c r="T56" s="1" t="s">
        <v>456</v>
      </c>
      <c r="U56" s="1" t="s">
        <v>30</v>
      </c>
      <c r="V56" s="1" t="s">
        <v>680</v>
      </c>
    </row>
    <row r="57" spans="1:22" ht="45" x14ac:dyDescent="0.25">
      <c r="A57" s="1" t="str">
        <f t="shared" si="1"/>
        <v>Done</v>
      </c>
      <c r="B57" s="1" t="s">
        <v>70</v>
      </c>
      <c r="C57" s="1" t="s">
        <v>162</v>
      </c>
      <c r="D57" s="1" t="s">
        <v>227</v>
      </c>
      <c r="E57" s="1" t="s">
        <v>297</v>
      </c>
      <c r="F57" s="1" t="s">
        <v>257</v>
      </c>
      <c r="G57" s="1" t="s">
        <v>389</v>
      </c>
      <c r="H57" s="1" t="s">
        <v>257</v>
      </c>
      <c r="I57" s="1" t="s">
        <v>383</v>
      </c>
      <c r="J57" s="1" t="s">
        <v>30</v>
      </c>
      <c r="K57" s="1" t="s">
        <v>9</v>
      </c>
      <c r="L57" s="1" t="s">
        <v>600</v>
      </c>
      <c r="M57" s="1" t="s">
        <v>574</v>
      </c>
      <c r="N57" s="1" t="s">
        <v>3</v>
      </c>
      <c r="O57" s="1">
        <v>6</v>
      </c>
      <c r="P57" s="1" t="s">
        <v>601</v>
      </c>
      <c r="Q57" s="1" t="str" cm="1">
        <f t="array" ref="Q57">_xlfn.REGEXEXTRACT(C57,"(?&lt;=//)[^/]+")</f>
        <v>old.reddit.com</v>
      </c>
      <c r="R57" s="1" t="str" cm="1">
        <f t="array" ref="R57">IF(D57&lt;&gt;"z-text-or-comment",_xlfn.REGEXEXTRACT(D57,"(?&lt;=//)[^/]+"),"z-text-or-comment")</f>
        <v>www.redgifs.com</v>
      </c>
      <c r="S57" s="1" t="s">
        <v>436</v>
      </c>
      <c r="T57" s="1" t="s">
        <v>489</v>
      </c>
      <c r="U57" s="1" t="s">
        <v>679</v>
      </c>
      <c r="V57" s="1" t="s">
        <v>680</v>
      </c>
    </row>
    <row r="58" spans="1:22" ht="45" x14ac:dyDescent="0.25">
      <c r="A58" s="1" t="str">
        <f t="shared" si="1"/>
        <v>Done</v>
      </c>
      <c r="B58" s="1" t="s">
        <v>70</v>
      </c>
      <c r="C58" s="1" t="s">
        <v>683</v>
      </c>
      <c r="D58" s="1" t="s">
        <v>686</v>
      </c>
      <c r="E58" s="1" t="s">
        <v>297</v>
      </c>
      <c r="F58" s="1" t="s">
        <v>260</v>
      </c>
      <c r="G58" s="1" t="s">
        <v>389</v>
      </c>
      <c r="H58" s="1" t="s">
        <v>260</v>
      </c>
      <c r="I58" s="1" t="s">
        <v>693</v>
      </c>
      <c r="J58" s="1" t="s">
        <v>30</v>
      </c>
      <c r="K58" s="1" t="s">
        <v>9</v>
      </c>
      <c r="L58" s="1" t="s">
        <v>699</v>
      </c>
      <c r="M58" s="1" t="s">
        <v>496</v>
      </c>
      <c r="N58" s="1" t="s">
        <v>3</v>
      </c>
      <c r="O58" s="1">
        <v>8</v>
      </c>
      <c r="P58" s="1" t="s">
        <v>700</v>
      </c>
      <c r="Q58" s="1" t="str" cm="1">
        <f t="array" ref="Q58">_xlfn.REGEXEXTRACT(C58,"(?&lt;=//)[^/]+")</f>
        <v>old.reddit.com</v>
      </c>
      <c r="R58" s="1" t="str" cm="1">
        <f t="array" ref="R58">IF(D58&lt;&gt;"z-text-or-comment",_xlfn.REGEXEXTRACT(D58,"(?&lt;=//)[^/]+"),"z-text-or-comment")</f>
        <v>www.redgifs.com</v>
      </c>
      <c r="S58" s="1" t="s">
        <v>436</v>
      </c>
      <c r="T58" s="1" t="s">
        <v>698</v>
      </c>
      <c r="U58" s="1" t="s">
        <v>679</v>
      </c>
      <c r="V58" s="1" t="s">
        <v>680</v>
      </c>
    </row>
    <row r="59" spans="1:22" ht="45" x14ac:dyDescent="0.25">
      <c r="A59" s="1" t="str">
        <f t="shared" si="1"/>
        <v>Done</v>
      </c>
      <c r="B59" s="1" t="s">
        <v>71</v>
      </c>
      <c r="C59" s="1" t="s">
        <v>118</v>
      </c>
      <c r="D59" s="1" t="s">
        <v>415</v>
      </c>
      <c r="E59" s="1" t="s">
        <v>282</v>
      </c>
      <c r="F59" s="1" t="s">
        <v>241</v>
      </c>
      <c r="G59" s="1" t="s">
        <v>389</v>
      </c>
      <c r="H59" s="1" t="s">
        <v>241</v>
      </c>
      <c r="I59" s="1" t="s">
        <v>342</v>
      </c>
      <c r="J59" s="1" t="s">
        <v>673</v>
      </c>
      <c r="K59" s="1" t="s">
        <v>9</v>
      </c>
      <c r="L59" s="1" t="s">
        <v>546</v>
      </c>
      <c r="M59" s="1" t="s">
        <v>415</v>
      </c>
      <c r="N59" s="1" t="s">
        <v>3</v>
      </c>
      <c r="O59" s="1">
        <v>6</v>
      </c>
      <c r="P59" s="1" t="s">
        <v>545</v>
      </c>
      <c r="Q59" s="1" t="str" cm="1">
        <f t="array" ref="Q59">_xlfn.REGEXEXTRACT(C59,"(?&lt;=//)[^/]+")</f>
        <v>old.reddit.com</v>
      </c>
      <c r="R59" s="1" t="str" cm="1">
        <f t="array" ref="R59">IF(D59&lt;&gt;"z-text-or-comment",_xlfn.REGEXEXTRACT(D59,"(?&lt;=//)[^/]+"),"z-text-or-comment")</f>
        <v>z-text-or-comment</v>
      </c>
      <c r="S59" s="1" t="s">
        <v>436</v>
      </c>
      <c r="T59" s="1" t="s">
        <v>673</v>
      </c>
      <c r="U59" s="1" t="s">
        <v>30</v>
      </c>
      <c r="V59" s="1" t="s">
        <v>680</v>
      </c>
    </row>
    <row r="60" spans="1:22" ht="45" x14ac:dyDescent="0.25">
      <c r="A60" s="1" t="str">
        <f t="shared" si="1"/>
        <v>Done</v>
      </c>
      <c r="B60" s="1" t="s">
        <v>72</v>
      </c>
      <c r="C60" s="1" t="s">
        <v>119</v>
      </c>
      <c r="D60" s="1" t="s">
        <v>415</v>
      </c>
      <c r="E60" s="1" t="s">
        <v>282</v>
      </c>
      <c r="F60" s="1" t="s">
        <v>241</v>
      </c>
      <c r="G60" s="1" t="s">
        <v>389</v>
      </c>
      <c r="H60" s="1" t="s">
        <v>241</v>
      </c>
      <c r="I60" s="1" t="s">
        <v>342</v>
      </c>
      <c r="J60" s="1" t="s">
        <v>673</v>
      </c>
      <c r="K60" s="1" t="s">
        <v>9</v>
      </c>
      <c r="L60" s="1" t="s">
        <v>543</v>
      </c>
      <c r="M60" s="1" t="s">
        <v>415</v>
      </c>
      <c r="N60" s="1" t="s">
        <v>3</v>
      </c>
      <c r="O60" s="1">
        <v>4</v>
      </c>
      <c r="P60" s="1" t="s">
        <v>544</v>
      </c>
      <c r="Q60" s="1" t="str" cm="1">
        <f t="array" ref="Q60">_xlfn.REGEXEXTRACT(C60,"(?&lt;=//)[^/]+")</f>
        <v>old.reddit.com</v>
      </c>
      <c r="R60" s="1" t="str" cm="1">
        <f t="array" ref="R60">IF(D60&lt;&gt;"z-text-or-comment",_xlfn.REGEXEXTRACT(D60,"(?&lt;=//)[^/]+"),"z-text-or-comment")</f>
        <v>z-text-or-comment</v>
      </c>
      <c r="S60" s="1" t="s">
        <v>436</v>
      </c>
      <c r="T60" s="1" t="s">
        <v>673</v>
      </c>
      <c r="U60" s="1" t="s">
        <v>30</v>
      </c>
      <c r="V60" s="1" t="s">
        <v>680</v>
      </c>
    </row>
    <row r="61" spans="1:22" ht="30" x14ac:dyDescent="0.25">
      <c r="A61" s="1" t="str">
        <f t="shared" si="1"/>
        <v>Done</v>
      </c>
      <c r="B61" s="1" t="s">
        <v>71</v>
      </c>
      <c r="C61" s="1" t="s">
        <v>114</v>
      </c>
      <c r="D61" s="1" t="s">
        <v>415</v>
      </c>
      <c r="E61" s="1" t="s">
        <v>282</v>
      </c>
      <c r="F61" s="1" t="s">
        <v>237</v>
      </c>
      <c r="G61" s="1" t="s">
        <v>389</v>
      </c>
      <c r="H61" s="1" t="s">
        <v>237</v>
      </c>
      <c r="I61" s="1" t="s">
        <v>338</v>
      </c>
      <c r="J61" s="1" t="s">
        <v>675</v>
      </c>
      <c r="K61" s="1" t="s">
        <v>9</v>
      </c>
      <c r="L61" s="1" t="s">
        <v>548</v>
      </c>
      <c r="M61" s="1" t="s">
        <v>415</v>
      </c>
      <c r="N61" s="1" t="s">
        <v>3</v>
      </c>
      <c r="O61" s="1">
        <v>7</v>
      </c>
      <c r="P61" s="1" t="s">
        <v>549</v>
      </c>
      <c r="Q61" s="1" t="str" cm="1">
        <f t="array" ref="Q61">_xlfn.REGEXEXTRACT(C61,"(?&lt;=//)[^/]+")</f>
        <v>old.reddit.com</v>
      </c>
      <c r="R61" s="1" t="str" cm="1">
        <f t="array" ref="R61">IF(D61&lt;&gt;"z-text-or-comment",_xlfn.REGEXEXTRACT(D61,"(?&lt;=//)[^/]+"),"z-text-or-comment")</f>
        <v>z-text-or-comment</v>
      </c>
      <c r="S61" s="1" t="s">
        <v>436</v>
      </c>
      <c r="T61" s="1" t="s">
        <v>675</v>
      </c>
      <c r="U61" s="1" t="s">
        <v>30</v>
      </c>
      <c r="V61" s="1" t="s">
        <v>680</v>
      </c>
    </row>
    <row r="62" spans="1:22" ht="45" x14ac:dyDescent="0.25">
      <c r="A62" s="1" t="str">
        <f t="shared" si="1"/>
        <v>Done</v>
      </c>
      <c r="B62" s="1" t="s">
        <v>71</v>
      </c>
      <c r="C62" s="1" t="s">
        <v>116</v>
      </c>
      <c r="D62" s="1" t="s">
        <v>415</v>
      </c>
      <c r="E62" s="1" t="s">
        <v>282</v>
      </c>
      <c r="F62" s="1" t="s">
        <v>239</v>
      </c>
      <c r="G62" s="1" t="s">
        <v>389</v>
      </c>
      <c r="H62" s="1" t="s">
        <v>239</v>
      </c>
      <c r="I62" s="1" t="s">
        <v>340</v>
      </c>
      <c r="J62" s="1" t="s">
        <v>677</v>
      </c>
      <c r="K62" s="1" t="s">
        <v>9</v>
      </c>
      <c r="L62" s="1" t="s">
        <v>551</v>
      </c>
      <c r="M62" s="1" t="s">
        <v>415</v>
      </c>
      <c r="N62" s="1" t="s">
        <v>3</v>
      </c>
      <c r="O62" s="1">
        <v>6</v>
      </c>
      <c r="P62" s="1" t="s">
        <v>552</v>
      </c>
      <c r="Q62" s="1" t="str" cm="1">
        <f t="array" ref="Q62">_xlfn.REGEXEXTRACT(C62,"(?&lt;=//)[^/]+")</f>
        <v>old.reddit.com</v>
      </c>
      <c r="R62" s="1" t="str" cm="1">
        <f t="array" ref="R62">IF(D62&lt;&gt;"z-text-or-comment",_xlfn.REGEXEXTRACT(D62,"(?&lt;=//)[^/]+"),"z-text-or-comment")</f>
        <v>z-text-or-comment</v>
      </c>
      <c r="S62" s="1" t="s">
        <v>436</v>
      </c>
      <c r="T62" s="1" t="s">
        <v>677</v>
      </c>
      <c r="U62" s="1" t="s">
        <v>30</v>
      </c>
      <c r="V62" s="1" t="s">
        <v>680</v>
      </c>
    </row>
    <row r="63" spans="1:22" ht="45" x14ac:dyDescent="0.25">
      <c r="A63" s="1" t="str">
        <f t="shared" si="1"/>
        <v>Done</v>
      </c>
      <c r="B63" s="1" t="s">
        <v>71</v>
      </c>
      <c r="C63" s="1" t="s">
        <v>131</v>
      </c>
      <c r="D63" s="1" t="s">
        <v>415</v>
      </c>
      <c r="E63" s="1" t="s">
        <v>282</v>
      </c>
      <c r="F63" s="1" t="s">
        <v>251</v>
      </c>
      <c r="G63" s="1" t="s">
        <v>389</v>
      </c>
      <c r="H63" s="1" t="s">
        <v>251</v>
      </c>
      <c r="I63" s="1" t="s">
        <v>354</v>
      </c>
      <c r="J63" s="1" t="s">
        <v>674</v>
      </c>
      <c r="K63" s="1" t="s">
        <v>9</v>
      </c>
      <c r="L63" s="1" t="s">
        <v>550</v>
      </c>
      <c r="M63" s="1" t="s">
        <v>415</v>
      </c>
      <c r="N63" s="1" t="s">
        <v>3</v>
      </c>
      <c r="O63" s="1">
        <v>6</v>
      </c>
      <c r="P63" s="1" t="s">
        <v>547</v>
      </c>
      <c r="Q63" s="1" t="str" cm="1">
        <f t="array" ref="Q63">_xlfn.REGEXEXTRACT(C63,"(?&lt;=//)[^/]+")</f>
        <v>old.reddit.com</v>
      </c>
      <c r="R63" s="1" t="str" cm="1">
        <f t="array" ref="R63">IF(D63&lt;&gt;"z-text-or-comment",_xlfn.REGEXEXTRACT(D63,"(?&lt;=//)[^/]+"),"z-text-or-comment")</f>
        <v>z-text-or-comment</v>
      </c>
      <c r="S63" s="1" t="s">
        <v>436</v>
      </c>
      <c r="T63" s="1" t="s">
        <v>674</v>
      </c>
      <c r="U63" s="1" t="s">
        <v>30</v>
      </c>
      <c r="V63" s="1" t="s">
        <v>680</v>
      </c>
    </row>
    <row r="64" spans="1:22" ht="45" x14ac:dyDescent="0.25">
      <c r="A64" s="1" t="str">
        <f t="shared" si="1"/>
        <v>Done</v>
      </c>
      <c r="B64" s="1" t="s">
        <v>71</v>
      </c>
      <c r="C64" s="1" t="s">
        <v>117</v>
      </c>
      <c r="D64" s="1" t="s">
        <v>415</v>
      </c>
      <c r="E64" s="1" t="s">
        <v>282</v>
      </c>
      <c r="F64" s="1" t="s">
        <v>240</v>
      </c>
      <c r="G64" s="1" t="s">
        <v>389</v>
      </c>
      <c r="H64" s="1" t="s">
        <v>240</v>
      </c>
      <c r="I64" s="1" t="s">
        <v>341</v>
      </c>
      <c r="J64" s="1" t="s">
        <v>666</v>
      </c>
      <c r="K64" s="1" t="s">
        <v>9</v>
      </c>
      <c r="L64" s="1" t="s">
        <v>538</v>
      </c>
      <c r="M64" s="1" t="s">
        <v>415</v>
      </c>
      <c r="N64" s="1" t="s">
        <v>3</v>
      </c>
      <c r="O64" s="1">
        <v>6</v>
      </c>
      <c r="P64" s="1" t="s">
        <v>520</v>
      </c>
      <c r="Q64" s="1" t="str" cm="1">
        <f t="array" ref="Q64">_xlfn.REGEXEXTRACT(C64,"(?&lt;=//)[^/]+")</f>
        <v>old.reddit.com</v>
      </c>
      <c r="R64" s="1" t="str" cm="1">
        <f t="array" ref="R64">IF(D64&lt;&gt;"z-text-or-comment",_xlfn.REGEXEXTRACT(D64,"(?&lt;=//)[^/]+"),"z-text-or-comment")</f>
        <v>z-text-or-comment</v>
      </c>
      <c r="S64" s="1" t="s">
        <v>436</v>
      </c>
      <c r="T64" s="1" t="s">
        <v>666</v>
      </c>
      <c r="U64" s="1" t="s">
        <v>30</v>
      </c>
      <c r="V64" s="1" t="s">
        <v>680</v>
      </c>
    </row>
    <row r="65" spans="1:22" ht="45" x14ac:dyDescent="0.25">
      <c r="A65" s="1" t="str">
        <f t="shared" si="1"/>
        <v>Done</v>
      </c>
      <c r="B65" s="1" t="s">
        <v>71</v>
      </c>
      <c r="C65" s="1" t="s">
        <v>123</v>
      </c>
      <c r="D65" s="1" t="s">
        <v>415</v>
      </c>
      <c r="E65" s="1" t="s">
        <v>282</v>
      </c>
      <c r="F65" s="1" t="s">
        <v>245</v>
      </c>
      <c r="G65" s="1" t="s">
        <v>389</v>
      </c>
      <c r="H65" s="1" t="s">
        <v>245</v>
      </c>
      <c r="I65" s="1" t="s">
        <v>346</v>
      </c>
      <c r="J65" s="1" t="s">
        <v>670</v>
      </c>
      <c r="K65" s="1" t="s">
        <v>9</v>
      </c>
      <c r="L65" s="1" t="s">
        <v>532</v>
      </c>
      <c r="M65" s="1" t="s">
        <v>415</v>
      </c>
      <c r="N65" s="1" t="s">
        <v>3</v>
      </c>
      <c r="O65" s="1">
        <v>3</v>
      </c>
      <c r="P65" s="1" t="s">
        <v>533</v>
      </c>
      <c r="Q65" s="1" t="str" cm="1">
        <f t="array" ref="Q65">_xlfn.REGEXEXTRACT(C65,"(?&lt;=//)[^/]+")</f>
        <v>old.reddit.com</v>
      </c>
      <c r="R65" s="1" t="str" cm="1">
        <f t="array" ref="R65">IF(D65&lt;&gt;"z-text-or-comment",_xlfn.REGEXEXTRACT(D65,"(?&lt;=//)[^/]+"),"z-text-or-comment")</f>
        <v>z-text-or-comment</v>
      </c>
      <c r="S65" s="1" t="s">
        <v>436</v>
      </c>
      <c r="T65" s="1" t="s">
        <v>670</v>
      </c>
      <c r="U65" s="1" t="s">
        <v>30</v>
      </c>
      <c r="V65" s="1" t="s">
        <v>680</v>
      </c>
    </row>
    <row r="66" spans="1:22" ht="45" x14ac:dyDescent="0.25">
      <c r="A66" s="1" t="str">
        <f t="shared" ref="A66:A95" si="2">IF(ISBLANK(N66)=TRUE,"Pending","Done")</f>
        <v>Done</v>
      </c>
      <c r="B66" s="1" t="s">
        <v>72</v>
      </c>
      <c r="C66" s="1" t="s">
        <v>420</v>
      </c>
      <c r="D66" s="1" t="s">
        <v>415</v>
      </c>
      <c r="E66" s="1" t="s">
        <v>282</v>
      </c>
      <c r="F66" s="1" t="s">
        <v>421</v>
      </c>
      <c r="G66" s="1" t="s">
        <v>389</v>
      </c>
      <c r="H66" s="1" t="s">
        <v>421</v>
      </c>
      <c r="I66" s="1" t="s">
        <v>346</v>
      </c>
      <c r="J66" s="1" t="s">
        <v>670</v>
      </c>
      <c r="K66" s="1" t="s">
        <v>9</v>
      </c>
      <c r="L66" s="1" t="s">
        <v>529</v>
      </c>
      <c r="M66" s="1" t="s">
        <v>415</v>
      </c>
      <c r="N66" s="1" t="s">
        <v>3</v>
      </c>
      <c r="O66" s="1">
        <v>3</v>
      </c>
      <c r="P66" s="1" t="s">
        <v>531</v>
      </c>
      <c r="Q66" s="1" t="str" cm="1">
        <f t="array" ref="Q66">_xlfn.REGEXEXTRACT(C66,"(?&lt;=//)[^/]+")</f>
        <v>old.reddit.com</v>
      </c>
      <c r="R66" s="1" t="str" cm="1">
        <f t="array" ref="R66">IF(D66&lt;&gt;"z-text-or-comment",_xlfn.REGEXEXTRACT(D66,"(?&lt;=//)[^/]+"),"z-text-or-comment")</f>
        <v>z-text-or-comment</v>
      </c>
      <c r="S66" s="1" t="s">
        <v>436</v>
      </c>
      <c r="T66" s="1" t="s">
        <v>670</v>
      </c>
      <c r="U66" s="1" t="s">
        <v>30</v>
      </c>
      <c r="V66" s="1" t="s">
        <v>680</v>
      </c>
    </row>
    <row r="67" spans="1:22" ht="45" x14ac:dyDescent="0.25">
      <c r="A67" s="1" t="str">
        <f t="shared" si="2"/>
        <v>Done</v>
      </c>
      <c r="B67" s="1" t="s">
        <v>72</v>
      </c>
      <c r="C67" s="1" t="s">
        <v>435</v>
      </c>
      <c r="D67" s="1" t="s">
        <v>415</v>
      </c>
      <c r="E67" s="1" t="s">
        <v>282</v>
      </c>
      <c r="F67" s="1" t="s">
        <v>421</v>
      </c>
      <c r="G67" s="1" t="s">
        <v>389</v>
      </c>
      <c r="H67" s="1" t="s">
        <v>421</v>
      </c>
      <c r="I67" s="1" t="s">
        <v>346</v>
      </c>
      <c r="J67" s="1" t="s">
        <v>670</v>
      </c>
      <c r="K67" s="1" t="s">
        <v>9</v>
      </c>
      <c r="L67" s="1" t="s">
        <v>529</v>
      </c>
      <c r="M67" s="1" t="s">
        <v>415</v>
      </c>
      <c r="N67" s="1" t="s">
        <v>3</v>
      </c>
      <c r="O67" s="1">
        <v>3</v>
      </c>
      <c r="P67" s="1" t="s">
        <v>530</v>
      </c>
      <c r="Q67" s="1" t="str" cm="1">
        <f t="array" ref="Q67">_xlfn.REGEXEXTRACT(C67,"(?&lt;=//)[^/]+")</f>
        <v>old.reddit.com</v>
      </c>
      <c r="R67" s="1" t="str" cm="1">
        <f t="array" ref="R67">IF(D67&lt;&gt;"z-text-or-comment",_xlfn.REGEXEXTRACT(D67,"(?&lt;=//)[^/]+"),"z-text-or-comment")</f>
        <v>z-text-or-comment</v>
      </c>
      <c r="S67" s="1" t="s">
        <v>436</v>
      </c>
      <c r="T67" s="1" t="s">
        <v>670</v>
      </c>
      <c r="U67" s="1" t="s">
        <v>30</v>
      </c>
      <c r="V67" s="1" t="s">
        <v>680</v>
      </c>
    </row>
    <row r="68" spans="1:22" ht="45" x14ac:dyDescent="0.25">
      <c r="A68" s="1" t="str">
        <f t="shared" si="2"/>
        <v>Done</v>
      </c>
      <c r="B68" s="1" t="s">
        <v>71</v>
      </c>
      <c r="C68" s="1" t="s">
        <v>112</v>
      </c>
      <c r="D68" s="1" t="s">
        <v>415</v>
      </c>
      <c r="E68" s="1" t="s">
        <v>282</v>
      </c>
      <c r="F68" s="1" t="s">
        <v>237</v>
      </c>
      <c r="G68" s="1" t="s">
        <v>389</v>
      </c>
      <c r="H68" s="1" t="s">
        <v>237</v>
      </c>
      <c r="I68" s="1" t="s">
        <v>337</v>
      </c>
      <c r="J68" s="1" t="s">
        <v>671</v>
      </c>
      <c r="K68" s="1" t="s">
        <v>9</v>
      </c>
      <c r="L68" s="1" t="s">
        <v>540</v>
      </c>
      <c r="M68" s="1" t="s">
        <v>415</v>
      </c>
      <c r="N68" s="1" t="s">
        <v>3</v>
      </c>
      <c r="O68" s="1">
        <v>4</v>
      </c>
      <c r="P68" s="1" t="s">
        <v>536</v>
      </c>
      <c r="Q68" s="1" t="str" cm="1">
        <f t="array" ref="Q68">_xlfn.REGEXEXTRACT(C68,"(?&lt;=//)[^/]+")</f>
        <v>old.reddit.com</v>
      </c>
      <c r="R68" s="1" t="str" cm="1">
        <f t="array" ref="R68">IF(D68&lt;&gt;"z-text-or-comment",_xlfn.REGEXEXTRACT(D68,"(?&lt;=//)[^/]+"),"z-text-or-comment")</f>
        <v>z-text-or-comment</v>
      </c>
      <c r="S68" s="1" t="s">
        <v>436</v>
      </c>
      <c r="T68" s="1" t="s">
        <v>671</v>
      </c>
      <c r="U68" s="1" t="s">
        <v>30</v>
      </c>
      <c r="V68" s="1" t="s">
        <v>680</v>
      </c>
    </row>
    <row r="69" spans="1:22" ht="45" x14ac:dyDescent="0.25">
      <c r="A69" s="1" t="str">
        <f t="shared" si="2"/>
        <v>Done</v>
      </c>
      <c r="B69" s="1" t="s">
        <v>72</v>
      </c>
      <c r="C69" s="1" t="s">
        <v>113</v>
      </c>
      <c r="D69" s="1" t="s">
        <v>415</v>
      </c>
      <c r="E69" s="1" t="s">
        <v>282</v>
      </c>
      <c r="F69" s="1" t="s">
        <v>237</v>
      </c>
      <c r="G69" s="1" t="s">
        <v>389</v>
      </c>
      <c r="H69" s="1" t="s">
        <v>237</v>
      </c>
      <c r="I69" s="1" t="s">
        <v>337</v>
      </c>
      <c r="J69" s="1" t="s">
        <v>671</v>
      </c>
      <c r="K69" s="1" t="s">
        <v>9</v>
      </c>
      <c r="L69" s="1" t="s">
        <v>537</v>
      </c>
      <c r="M69" s="1" t="s">
        <v>415</v>
      </c>
      <c r="N69" s="1" t="s">
        <v>3</v>
      </c>
      <c r="O69" s="1">
        <v>4</v>
      </c>
      <c r="P69" s="1" t="s">
        <v>534</v>
      </c>
      <c r="Q69" s="1" t="str" cm="1">
        <f t="array" ref="Q69">_xlfn.REGEXEXTRACT(C69,"(?&lt;=//)[^/]+")</f>
        <v>old.reddit.com</v>
      </c>
      <c r="R69" s="1" t="str" cm="1">
        <f t="array" ref="R69">IF(D69&lt;&gt;"z-text-or-comment",_xlfn.REGEXEXTRACT(D69,"(?&lt;=//)[^/]+"),"z-text-or-comment")</f>
        <v>z-text-or-comment</v>
      </c>
      <c r="S69" s="1" t="s">
        <v>436</v>
      </c>
      <c r="T69" s="1" t="s">
        <v>671</v>
      </c>
      <c r="U69" s="1" t="s">
        <v>30</v>
      </c>
      <c r="V69" s="1" t="s">
        <v>680</v>
      </c>
    </row>
    <row r="70" spans="1:22" ht="45" x14ac:dyDescent="0.25">
      <c r="A70" s="1" t="str">
        <f t="shared" si="2"/>
        <v>Done</v>
      </c>
      <c r="B70" s="1" t="s">
        <v>71</v>
      </c>
      <c r="C70" s="1" t="s">
        <v>110</v>
      </c>
      <c r="D70" s="1" t="s">
        <v>415</v>
      </c>
      <c r="E70" s="1" t="s">
        <v>281</v>
      </c>
      <c r="F70" s="1" t="s">
        <v>236</v>
      </c>
      <c r="G70" s="1" t="s">
        <v>389</v>
      </c>
      <c r="H70" s="1" t="s">
        <v>236</v>
      </c>
      <c r="I70" s="1" t="s">
        <v>335</v>
      </c>
      <c r="J70" s="1" t="s">
        <v>672</v>
      </c>
      <c r="K70" s="1" t="s">
        <v>9</v>
      </c>
      <c r="L70" s="1" t="s">
        <v>541</v>
      </c>
      <c r="M70" s="1" t="s">
        <v>415</v>
      </c>
      <c r="N70" s="1" t="s">
        <v>3</v>
      </c>
      <c r="O70" s="1">
        <v>7</v>
      </c>
      <c r="P70" s="1" t="s">
        <v>542</v>
      </c>
      <c r="Q70" s="1" t="str" cm="1">
        <f t="array" ref="Q70">_xlfn.REGEXEXTRACT(C70,"(?&lt;=//)[^/]+")</f>
        <v>old.reddit.com</v>
      </c>
      <c r="R70" s="1" t="str" cm="1">
        <f t="array" ref="R70">IF(D70&lt;&gt;"z-text-or-comment",_xlfn.REGEXEXTRACT(D70,"(?&lt;=//)[^/]+"),"z-text-or-comment")</f>
        <v>z-text-or-comment</v>
      </c>
      <c r="S70" s="1" t="s">
        <v>436</v>
      </c>
      <c r="T70" s="1" t="s">
        <v>672</v>
      </c>
      <c r="U70" s="1" t="s">
        <v>30</v>
      </c>
      <c r="V70" s="1" t="s">
        <v>680</v>
      </c>
    </row>
    <row r="71" spans="1:22" ht="45" x14ac:dyDescent="0.25">
      <c r="A71" s="1" t="str">
        <f t="shared" si="2"/>
        <v>Done</v>
      </c>
      <c r="B71" s="1" t="s">
        <v>70</v>
      </c>
      <c r="C71" s="1" t="s">
        <v>152</v>
      </c>
      <c r="D71" s="1" t="s">
        <v>221</v>
      </c>
      <c r="E71" s="1" t="s">
        <v>303</v>
      </c>
      <c r="F71" s="1" t="s">
        <v>265</v>
      </c>
      <c r="G71" s="1" t="s">
        <v>389</v>
      </c>
      <c r="H71" s="1" t="s">
        <v>265</v>
      </c>
      <c r="I71" s="1" t="s">
        <v>375</v>
      </c>
      <c r="J71" s="1" t="s">
        <v>30</v>
      </c>
      <c r="K71" s="1" t="s">
        <v>7</v>
      </c>
      <c r="L71" s="1" t="s">
        <v>560</v>
      </c>
      <c r="M71" s="1" t="s">
        <v>497</v>
      </c>
      <c r="N71" s="1" t="s">
        <v>3</v>
      </c>
      <c r="O71" s="1">
        <v>7</v>
      </c>
      <c r="P71" s="1" t="s">
        <v>561</v>
      </c>
      <c r="Q71" s="1" t="str" cm="1">
        <f t="array" ref="Q71">_xlfn.REGEXEXTRACT(C71,"(?&lt;=//)[^/]+")</f>
        <v>old.reddit.com</v>
      </c>
      <c r="R71" s="1" t="str" cm="1">
        <f t="array" ref="R71">IF(D71&lt;&gt;"z-text-or-comment",_xlfn.REGEXEXTRACT(D71,"(?&lt;=//)[^/]+"),"z-text-or-comment")</f>
        <v>v3.redgifs.com</v>
      </c>
      <c r="S71" s="1" t="s">
        <v>436</v>
      </c>
      <c r="T71" s="1" t="s">
        <v>451</v>
      </c>
      <c r="U71" s="1" t="s">
        <v>30</v>
      </c>
      <c r="V71" s="1" t="s">
        <v>680</v>
      </c>
    </row>
    <row r="72" spans="1:22" ht="30" x14ac:dyDescent="0.25">
      <c r="A72" s="1" t="str">
        <f t="shared" si="2"/>
        <v>Done</v>
      </c>
      <c r="B72" s="1" t="s">
        <v>70</v>
      </c>
      <c r="C72" s="1" t="s">
        <v>681</v>
      </c>
      <c r="D72" s="1" t="s">
        <v>684</v>
      </c>
      <c r="E72" s="1" t="s">
        <v>689</v>
      </c>
      <c r="F72" s="1" t="s">
        <v>687</v>
      </c>
      <c r="G72" s="1" t="s">
        <v>389</v>
      </c>
      <c r="H72" s="1" t="s">
        <v>687</v>
      </c>
      <c r="I72" s="1" t="s">
        <v>691</v>
      </c>
      <c r="J72" s="1" t="s">
        <v>30</v>
      </c>
      <c r="K72" s="1" t="s">
        <v>9</v>
      </c>
      <c r="L72" s="1" t="s">
        <v>694</v>
      </c>
      <c r="M72" s="1" t="s">
        <v>574</v>
      </c>
      <c r="N72" s="1" t="s">
        <v>3</v>
      </c>
      <c r="O72" s="1">
        <v>6</v>
      </c>
      <c r="P72" s="1" t="s">
        <v>695</v>
      </c>
      <c r="Q72" s="1" t="str" cm="1">
        <f t="array" ref="Q72">_xlfn.REGEXEXTRACT(C72,"(?&lt;=//)[^/]+")</f>
        <v>old.reddit.com</v>
      </c>
      <c r="R72" s="1" t="str" cm="1">
        <f t="array" ref="R72">IF(D72&lt;&gt;"z-text-or-comment",_xlfn.REGEXEXTRACT(D72,"(?&lt;=//)[^/]+"),"z-text-or-comment")</f>
        <v>www.redgifs.com</v>
      </c>
      <c r="S72" s="1" t="s">
        <v>436</v>
      </c>
      <c r="T72" s="1" t="s">
        <v>702</v>
      </c>
      <c r="U72" s="1" t="s">
        <v>679</v>
      </c>
      <c r="V72" s="1" t="s">
        <v>680</v>
      </c>
    </row>
    <row r="73" spans="1:22" ht="45" x14ac:dyDescent="0.25">
      <c r="A73" s="1" t="str">
        <f t="shared" si="2"/>
        <v>Done</v>
      </c>
      <c r="B73" s="1" t="s">
        <v>229</v>
      </c>
      <c r="C73" s="1" t="s">
        <v>126</v>
      </c>
      <c r="D73" s="1" t="s">
        <v>197</v>
      </c>
      <c r="E73" s="1" t="s">
        <v>288</v>
      </c>
      <c r="F73" s="1" t="s">
        <v>248</v>
      </c>
      <c r="G73" s="1" t="s">
        <v>389</v>
      </c>
      <c r="H73" s="1" t="s">
        <v>248</v>
      </c>
      <c r="I73" s="1" t="s">
        <v>349</v>
      </c>
      <c r="J73" s="1" t="s">
        <v>676</v>
      </c>
      <c r="K73" s="1" t="s">
        <v>9</v>
      </c>
      <c r="L73" s="1" t="s">
        <v>501</v>
      </c>
      <c r="M73" s="1" t="s">
        <v>497</v>
      </c>
      <c r="N73" s="1" t="s">
        <v>3</v>
      </c>
      <c r="O73" s="1">
        <v>2</v>
      </c>
      <c r="P73" s="1" t="s">
        <v>507</v>
      </c>
      <c r="Q73" s="1" t="str" cm="1">
        <f t="array" ref="Q73">_xlfn.REGEXEXTRACT(C73,"(?&lt;=//)[^/]+")</f>
        <v>old.reddit.com</v>
      </c>
      <c r="R73" s="1" t="str" cm="1">
        <f t="array" ref="R73">IF(D73&lt;&gt;"z-text-or-comment",_xlfn.REGEXEXTRACT(D73,"(?&lt;=//)[^/]+"),"z-text-or-comment")</f>
        <v>www.reddit.com</v>
      </c>
      <c r="S73" s="1" t="s">
        <v>436</v>
      </c>
      <c r="T73" s="1" t="s">
        <v>676</v>
      </c>
      <c r="U73" s="1" t="s">
        <v>30</v>
      </c>
      <c r="V73" s="1" t="s">
        <v>680</v>
      </c>
    </row>
    <row r="74" spans="1:22" ht="30" x14ac:dyDescent="0.25">
      <c r="A74" s="1" t="str">
        <f t="shared" si="2"/>
        <v>Done</v>
      </c>
      <c r="B74" s="1" t="s">
        <v>70</v>
      </c>
      <c r="C74" s="1" t="s">
        <v>135</v>
      </c>
      <c r="D74" s="1" t="s">
        <v>205</v>
      </c>
      <c r="E74" s="1" t="s">
        <v>285</v>
      </c>
      <c r="F74" s="1" t="s">
        <v>255</v>
      </c>
      <c r="G74" s="1" t="s">
        <v>389</v>
      </c>
      <c r="H74" s="1" t="s">
        <v>255</v>
      </c>
      <c r="I74" s="1" t="s">
        <v>358</v>
      </c>
      <c r="J74" s="1" t="s">
        <v>30</v>
      </c>
      <c r="K74" s="1" t="s">
        <v>20</v>
      </c>
      <c r="L74" s="1" t="s">
        <v>409</v>
      </c>
      <c r="M74" s="1" t="s">
        <v>555</v>
      </c>
      <c r="N74" s="1" t="s">
        <v>3</v>
      </c>
      <c r="O74" s="1">
        <v>8</v>
      </c>
      <c r="P74" s="1" t="s">
        <v>556</v>
      </c>
      <c r="Q74" s="1" t="str" cm="1">
        <f t="array" ref="Q74">_xlfn.REGEXEXTRACT(C74,"(?&lt;=//)[^/]+")</f>
        <v>old.reddit.com</v>
      </c>
      <c r="R74" s="1" t="str" cm="1">
        <f t="array" ref="R74">IF(D74&lt;&gt;"z-text-or-comment",_xlfn.REGEXEXTRACT(D74,"(?&lt;=//)[^/]+"),"z-text-or-comment")</f>
        <v>www.redgifs.com</v>
      </c>
      <c r="S74" s="1" t="s">
        <v>436</v>
      </c>
      <c r="T74" s="1" t="s">
        <v>468</v>
      </c>
      <c r="U74" s="1" t="s">
        <v>30</v>
      </c>
      <c r="V74" s="1" t="s">
        <v>680</v>
      </c>
    </row>
    <row r="75" spans="1:22" ht="30" x14ac:dyDescent="0.25">
      <c r="A75" s="1" t="str">
        <f t="shared" si="2"/>
        <v>Done</v>
      </c>
      <c r="B75" s="1" t="s">
        <v>70</v>
      </c>
      <c r="C75" s="1" t="s">
        <v>121</v>
      </c>
      <c r="D75" s="1" t="s">
        <v>193</v>
      </c>
      <c r="E75" s="1" t="s">
        <v>285</v>
      </c>
      <c r="F75" s="1" t="s">
        <v>243</v>
      </c>
      <c r="G75" s="1" t="s">
        <v>401</v>
      </c>
      <c r="H75" s="1" t="s">
        <v>390</v>
      </c>
      <c r="I75" s="1" t="s">
        <v>344</v>
      </c>
      <c r="J75" s="1" t="s">
        <v>30</v>
      </c>
      <c r="K75" s="1" t="s">
        <v>20</v>
      </c>
      <c r="L75" s="1" t="s">
        <v>409</v>
      </c>
      <c r="M75" s="1" t="s">
        <v>555</v>
      </c>
      <c r="N75" s="1" t="s">
        <v>3</v>
      </c>
      <c r="O75" s="1">
        <v>8</v>
      </c>
      <c r="P75" s="1" t="s">
        <v>557</v>
      </c>
      <c r="Q75" s="1" t="str" cm="1">
        <f t="array" ref="Q75">_xlfn.REGEXEXTRACT(C75,"(?&lt;=//)[^/]+")</f>
        <v>old.reddit.com</v>
      </c>
      <c r="R75" s="1" t="str" cm="1">
        <f t="array" ref="R75">IF(D75&lt;&gt;"z-text-or-comment",_xlfn.REGEXEXTRACT(D75,"(?&lt;=//)[^/]+"),"z-text-or-comment")</f>
        <v>www.redgifs.com</v>
      </c>
      <c r="S75" s="1" t="s">
        <v>436</v>
      </c>
      <c r="T75" s="1" t="s">
        <v>481</v>
      </c>
      <c r="U75" s="1" t="s">
        <v>30</v>
      </c>
      <c r="V75" s="1" t="s">
        <v>680</v>
      </c>
    </row>
    <row r="76" spans="1:22" ht="45" x14ac:dyDescent="0.25">
      <c r="A76" s="1" t="str">
        <f t="shared" si="2"/>
        <v>Done</v>
      </c>
      <c r="B76" s="1" t="s">
        <v>70</v>
      </c>
      <c r="C76" s="1" t="s">
        <v>124</v>
      </c>
      <c r="D76" s="1" t="s">
        <v>195</v>
      </c>
      <c r="E76" s="1" t="s">
        <v>15</v>
      </c>
      <c r="F76" s="1" t="s">
        <v>246</v>
      </c>
      <c r="G76" s="1" t="s">
        <v>29</v>
      </c>
      <c r="H76" s="1" t="s">
        <v>398</v>
      </c>
      <c r="I76" s="1" t="s">
        <v>347</v>
      </c>
      <c r="J76" s="1" t="s">
        <v>30</v>
      </c>
      <c r="K76" s="1" t="s">
        <v>7</v>
      </c>
      <c r="L76" s="1" t="s">
        <v>395</v>
      </c>
      <c r="M76" s="1" t="s">
        <v>404</v>
      </c>
      <c r="N76" s="1" t="s">
        <v>3</v>
      </c>
      <c r="O76" s="1">
        <v>5</v>
      </c>
      <c r="P76" s="1" t="s">
        <v>399</v>
      </c>
      <c r="Q76" s="1" t="str" cm="1">
        <f t="array" ref="Q76">_xlfn.REGEXEXTRACT(C76,"(?&lt;=//)[^/]+")</f>
        <v>old.reddit.com</v>
      </c>
      <c r="R76" s="1" t="str" cm="1">
        <f t="array" ref="R76">IF(D76&lt;&gt;"z-text-or-comment",_xlfn.REGEXEXTRACT(D76,"(?&lt;=//)[^/]+"),"z-text-or-comment")</f>
        <v>www.redgifs.com</v>
      </c>
      <c r="S76" s="1" t="s">
        <v>436</v>
      </c>
      <c r="T76" s="1" t="s">
        <v>490</v>
      </c>
      <c r="U76" s="1" t="s">
        <v>679</v>
      </c>
      <c r="V76" s="1" t="s">
        <v>680</v>
      </c>
    </row>
    <row r="77" spans="1:22" ht="30" x14ac:dyDescent="0.25">
      <c r="A77" s="1" t="str">
        <f t="shared" si="2"/>
        <v>Done</v>
      </c>
      <c r="B77" s="1" t="s">
        <v>71</v>
      </c>
      <c r="C77" s="1" t="s">
        <v>109</v>
      </c>
      <c r="D77" s="1" t="s">
        <v>415</v>
      </c>
      <c r="E77" s="1" t="s">
        <v>280</v>
      </c>
      <c r="F77" s="1" t="s">
        <v>235</v>
      </c>
      <c r="G77" s="1" t="s">
        <v>389</v>
      </c>
      <c r="H77" s="1" t="s">
        <v>235</v>
      </c>
      <c r="I77" s="1" t="s">
        <v>334</v>
      </c>
      <c r="J77" s="1" t="s">
        <v>678</v>
      </c>
      <c r="K77" s="1" t="s">
        <v>9</v>
      </c>
      <c r="L77" s="1" t="s">
        <v>553</v>
      </c>
      <c r="M77" s="1" t="s">
        <v>415</v>
      </c>
      <c r="N77" s="1" t="s">
        <v>3</v>
      </c>
      <c r="O77" s="1">
        <v>8</v>
      </c>
      <c r="P77" s="1" t="s">
        <v>554</v>
      </c>
      <c r="Q77" s="1" t="str" cm="1">
        <f t="array" ref="Q77">_xlfn.REGEXEXTRACT(C77,"(?&lt;=//)[^/]+")</f>
        <v>old.reddit.com</v>
      </c>
      <c r="R77" s="1" t="str" cm="1">
        <f t="array" ref="R77">IF(D77&lt;&gt;"z-text-or-comment",_xlfn.REGEXEXTRACT(D77,"(?&lt;=//)[^/]+"),"z-text-or-comment")</f>
        <v>z-text-or-comment</v>
      </c>
      <c r="S77" s="1" t="s">
        <v>436</v>
      </c>
      <c r="T77" s="1" t="s">
        <v>678</v>
      </c>
      <c r="U77" s="1" t="s">
        <v>30</v>
      </c>
      <c r="V77" s="1" t="s">
        <v>680</v>
      </c>
    </row>
    <row r="78" spans="1:22" ht="45" x14ac:dyDescent="0.25">
      <c r="A78" s="1" t="str">
        <f t="shared" si="2"/>
        <v>Done</v>
      </c>
      <c r="B78" s="1" t="s">
        <v>70</v>
      </c>
      <c r="C78" s="1" t="s">
        <v>150</v>
      </c>
      <c r="D78" s="1" t="s">
        <v>220</v>
      </c>
      <c r="E78" s="1" t="s">
        <v>301</v>
      </c>
      <c r="F78" s="1" t="s">
        <v>263</v>
      </c>
      <c r="G78" s="1" t="s">
        <v>389</v>
      </c>
      <c r="H78" s="1" t="s">
        <v>263</v>
      </c>
      <c r="I78" s="1" t="s">
        <v>373</v>
      </c>
      <c r="J78" s="1" t="s">
        <v>30</v>
      </c>
      <c r="K78" s="1" t="s">
        <v>7</v>
      </c>
      <c r="L78" s="1" t="s">
        <v>562</v>
      </c>
      <c r="M78" s="1" t="s">
        <v>497</v>
      </c>
      <c r="N78" s="1" t="s">
        <v>3</v>
      </c>
      <c r="O78" s="1">
        <v>6</v>
      </c>
      <c r="P78" s="1" t="s">
        <v>563</v>
      </c>
      <c r="Q78" s="1" t="str" cm="1">
        <f t="array" ref="Q78">_xlfn.REGEXEXTRACT(C78,"(?&lt;=//)[^/]+")</f>
        <v>old.reddit.com</v>
      </c>
      <c r="R78" s="1" t="str" cm="1">
        <f t="array" ref="R78">IF(D78&lt;&gt;"z-text-or-comment",_xlfn.REGEXEXTRACT(D78,"(?&lt;=//)[^/]+"),"z-text-or-comment")</f>
        <v>www.redgifs.com</v>
      </c>
      <c r="S78" s="1" t="s">
        <v>436</v>
      </c>
      <c r="T78" s="1" t="s">
        <v>471</v>
      </c>
      <c r="U78" s="1" t="s">
        <v>30</v>
      </c>
      <c r="V78" s="1" t="s">
        <v>680</v>
      </c>
    </row>
    <row r="79" spans="1:22" ht="45" x14ac:dyDescent="0.25">
      <c r="A79" s="1" t="str">
        <f t="shared" si="2"/>
        <v>Done</v>
      </c>
      <c r="B79" s="1" t="s">
        <v>70</v>
      </c>
      <c r="C79" s="1" t="s">
        <v>133</v>
      </c>
      <c r="D79" s="1" t="s">
        <v>203</v>
      </c>
      <c r="E79" s="1" t="s">
        <v>294</v>
      </c>
      <c r="F79" s="1" t="s">
        <v>253</v>
      </c>
      <c r="G79" s="1" t="s">
        <v>401</v>
      </c>
      <c r="H79" s="1" t="s">
        <v>8</v>
      </c>
      <c r="I79" s="1" t="s">
        <v>356</v>
      </c>
      <c r="J79" s="1" t="s">
        <v>30</v>
      </c>
      <c r="K79" s="1" t="s">
        <v>66</v>
      </c>
      <c r="L79" s="1" t="s">
        <v>406</v>
      </c>
      <c r="M79" s="1" t="s">
        <v>407</v>
      </c>
      <c r="N79" s="1" t="s">
        <v>3</v>
      </c>
      <c r="O79" s="1">
        <v>5</v>
      </c>
      <c r="P79" s="1" t="s">
        <v>408</v>
      </c>
      <c r="Q79" s="1" t="str" cm="1">
        <f t="array" ref="Q79">_xlfn.REGEXEXTRACT(C79,"(?&lt;=//)[^/]+")</f>
        <v>old.reddit.com</v>
      </c>
      <c r="R79" s="1" t="str" cm="1">
        <f t="array" ref="R79">IF(D79&lt;&gt;"z-text-or-comment",_xlfn.REGEXEXTRACT(D79,"(?&lt;=//)[^/]+"),"z-text-or-comment")</f>
        <v>www.redgifs.com</v>
      </c>
      <c r="S79" s="1" t="s">
        <v>436</v>
      </c>
      <c r="T79" s="1" t="s">
        <v>479</v>
      </c>
      <c r="U79" s="1" t="s">
        <v>30</v>
      </c>
      <c r="V79" s="1" t="s">
        <v>680</v>
      </c>
    </row>
    <row r="80" spans="1:22" ht="30" x14ac:dyDescent="0.25">
      <c r="A80" s="1" t="str">
        <f t="shared" si="2"/>
        <v>Done</v>
      </c>
      <c r="B80" s="1" t="s">
        <v>70</v>
      </c>
      <c r="C80" s="1" t="s">
        <v>134</v>
      </c>
      <c r="D80" s="1" t="s">
        <v>204</v>
      </c>
      <c r="E80" s="1" t="s">
        <v>294</v>
      </c>
      <c r="F80" s="1" t="s">
        <v>254</v>
      </c>
      <c r="G80" s="1" t="s">
        <v>401</v>
      </c>
      <c r="H80" s="1" t="s">
        <v>8</v>
      </c>
      <c r="I80" s="1" t="s">
        <v>357</v>
      </c>
      <c r="J80" s="1" t="s">
        <v>30</v>
      </c>
      <c r="K80" s="1" t="s">
        <v>20</v>
      </c>
      <c r="L80" s="1" t="s">
        <v>409</v>
      </c>
      <c r="M80" s="1" t="s">
        <v>410</v>
      </c>
      <c r="N80" s="1" t="s">
        <v>3</v>
      </c>
      <c r="O80" s="1">
        <v>6</v>
      </c>
      <c r="P80" s="1" t="s">
        <v>411</v>
      </c>
      <c r="Q80" s="1" t="str" cm="1">
        <f t="array" ref="Q80">_xlfn.REGEXEXTRACT(C80,"(?&lt;=//)[^/]+")</f>
        <v>old.reddit.com</v>
      </c>
      <c r="R80" s="1" t="str" cm="1">
        <f t="array" ref="R80">IF(D80&lt;&gt;"z-text-or-comment",_xlfn.REGEXEXTRACT(D80,"(?&lt;=//)[^/]+"),"z-text-or-comment")</f>
        <v>i.redd.it</v>
      </c>
      <c r="S80" s="1" t="s">
        <v>436</v>
      </c>
      <c r="T80" s="1" t="s">
        <v>440</v>
      </c>
      <c r="U80" s="1" t="s">
        <v>30</v>
      </c>
      <c r="V80" s="1" t="s">
        <v>680</v>
      </c>
    </row>
    <row r="81" spans="1:22" ht="90" x14ac:dyDescent="0.25">
      <c r="A81" s="1" t="str">
        <f t="shared" si="2"/>
        <v>Done</v>
      </c>
      <c r="B81" s="1" t="s">
        <v>229</v>
      </c>
      <c r="C81" s="1" t="s">
        <v>147</v>
      </c>
      <c r="D81" s="1" t="s">
        <v>217</v>
      </c>
      <c r="E81" s="1" t="s">
        <v>299</v>
      </c>
      <c r="F81" s="1" t="s">
        <v>73</v>
      </c>
      <c r="G81" s="1" t="s">
        <v>389</v>
      </c>
      <c r="H81" s="1" t="s">
        <v>73</v>
      </c>
      <c r="I81" s="1" t="s">
        <v>370</v>
      </c>
      <c r="J81" s="1" t="s">
        <v>429</v>
      </c>
      <c r="K81" s="1" t="s">
        <v>7</v>
      </c>
      <c r="L81" s="1" t="s">
        <v>498</v>
      </c>
      <c r="M81" s="1" t="s">
        <v>427</v>
      </c>
      <c r="N81" s="1" t="s">
        <v>3</v>
      </c>
      <c r="O81" s="1">
        <v>4</v>
      </c>
      <c r="P81" s="1" t="s">
        <v>502</v>
      </c>
      <c r="Q81" s="1" t="str" cm="1">
        <f t="array" ref="Q81">_xlfn.REGEXEXTRACT(C81,"(?&lt;=//)[^/]+")</f>
        <v>old.reddit.com</v>
      </c>
      <c r="R81" s="1" t="str" cm="1">
        <f t="array" ref="R81">IF(D81&lt;&gt;"z-text-or-comment",_xlfn.REGEXEXTRACT(D81,"(?&lt;=//)[^/]+"),"z-text-or-comment")</f>
        <v>www.reddit.com</v>
      </c>
      <c r="S81" s="1" t="s">
        <v>436</v>
      </c>
      <c r="T81" s="1" t="s">
        <v>429</v>
      </c>
      <c r="U81" s="1" t="s">
        <v>30</v>
      </c>
      <c r="V81" s="1" t="s">
        <v>680</v>
      </c>
    </row>
    <row r="82" spans="1:22" ht="45" x14ac:dyDescent="0.25">
      <c r="A82" s="1" t="str">
        <f t="shared" si="2"/>
        <v>Done</v>
      </c>
      <c r="B82" s="1" t="s">
        <v>71</v>
      </c>
      <c r="C82" s="1" t="s">
        <v>107</v>
      </c>
      <c r="D82" s="1" t="s">
        <v>415</v>
      </c>
      <c r="E82" s="1" t="s">
        <v>279</v>
      </c>
      <c r="F82" s="1" t="s">
        <v>233</v>
      </c>
      <c r="G82" s="1" t="s">
        <v>389</v>
      </c>
      <c r="H82" s="1" t="s">
        <v>233</v>
      </c>
      <c r="I82" s="1" t="s">
        <v>333</v>
      </c>
      <c r="J82" s="1" t="s">
        <v>667</v>
      </c>
      <c r="K82" s="1" t="s">
        <v>9</v>
      </c>
      <c r="L82" s="1" t="s">
        <v>523</v>
      </c>
      <c r="M82" s="1" t="s">
        <v>415</v>
      </c>
      <c r="N82" s="1" t="s">
        <v>3</v>
      </c>
      <c r="O82" s="1">
        <v>3</v>
      </c>
      <c r="P82" s="1" t="s">
        <v>524</v>
      </c>
      <c r="Q82" s="1" t="str" cm="1">
        <f t="array" ref="Q82">_xlfn.REGEXEXTRACT(C82,"(?&lt;=//)[^/]+")</f>
        <v>old.reddit.com</v>
      </c>
      <c r="R82" s="1" t="str" cm="1">
        <f t="array" ref="R82">IF(D82&lt;&gt;"z-text-or-comment",_xlfn.REGEXEXTRACT(D82,"(?&lt;=//)[^/]+"),"z-text-or-comment")</f>
        <v>z-text-or-comment</v>
      </c>
      <c r="S82" s="1" t="s">
        <v>436</v>
      </c>
      <c r="T82" s="1" t="s">
        <v>667</v>
      </c>
      <c r="U82" s="1" t="s">
        <v>30</v>
      </c>
      <c r="V82" s="1" t="s">
        <v>680</v>
      </c>
    </row>
    <row r="83" spans="1:22" ht="45" x14ac:dyDescent="0.25">
      <c r="A83" s="1" t="str">
        <f t="shared" si="2"/>
        <v>Done</v>
      </c>
      <c r="B83" s="1" t="s">
        <v>72</v>
      </c>
      <c r="C83" s="1" t="s">
        <v>108</v>
      </c>
      <c r="D83" s="1" t="s">
        <v>415</v>
      </c>
      <c r="E83" s="1" t="s">
        <v>279</v>
      </c>
      <c r="F83" s="1" t="s">
        <v>234</v>
      </c>
      <c r="G83" s="1" t="s">
        <v>389</v>
      </c>
      <c r="H83" s="1" t="s">
        <v>234</v>
      </c>
      <c r="I83" s="1" t="s">
        <v>333</v>
      </c>
      <c r="J83" s="1" t="s">
        <v>667</v>
      </c>
      <c r="K83" s="1" t="s">
        <v>9</v>
      </c>
      <c r="L83" s="1" t="s">
        <v>521</v>
      </c>
      <c r="M83" s="1" t="s">
        <v>415</v>
      </c>
      <c r="N83" s="1" t="s">
        <v>3</v>
      </c>
      <c r="O83" s="1">
        <v>3</v>
      </c>
      <c r="P83" s="1" t="s">
        <v>522</v>
      </c>
      <c r="Q83" s="1" t="str" cm="1">
        <f t="array" ref="Q83">_xlfn.REGEXEXTRACT(C83,"(?&lt;=//)[^/]+")</f>
        <v>old.reddit.com</v>
      </c>
      <c r="R83" s="1" t="str" cm="1">
        <f t="array" ref="R83">IF(D83&lt;&gt;"z-text-or-comment",_xlfn.REGEXEXTRACT(D83,"(?&lt;=//)[^/]+"),"z-text-or-comment")</f>
        <v>z-text-or-comment</v>
      </c>
      <c r="S83" s="1" t="s">
        <v>436</v>
      </c>
      <c r="T83" s="1" t="s">
        <v>667</v>
      </c>
      <c r="U83" s="1" t="s">
        <v>30</v>
      </c>
      <c r="V83" s="1" t="s">
        <v>680</v>
      </c>
    </row>
    <row r="84" spans="1:22" ht="45" x14ac:dyDescent="0.25">
      <c r="A84" s="1" t="str">
        <f t="shared" si="2"/>
        <v>Done</v>
      </c>
      <c r="B84" s="1" t="s">
        <v>229</v>
      </c>
      <c r="C84" s="1" t="s">
        <v>149</v>
      </c>
      <c r="D84" s="1" t="s">
        <v>219</v>
      </c>
      <c r="E84" s="1" t="s">
        <v>289</v>
      </c>
      <c r="F84" s="1" t="s">
        <v>262</v>
      </c>
      <c r="G84" s="1" t="s">
        <v>389</v>
      </c>
      <c r="H84" s="1" t="s">
        <v>262</v>
      </c>
      <c r="I84" s="1" t="s">
        <v>372</v>
      </c>
      <c r="J84" s="1" t="s">
        <v>430</v>
      </c>
      <c r="K84" s="1" t="s">
        <v>7</v>
      </c>
      <c r="L84" s="1" t="s">
        <v>499</v>
      </c>
      <c r="M84" s="1" t="s">
        <v>500</v>
      </c>
      <c r="N84" s="1" t="s">
        <v>3</v>
      </c>
      <c r="O84" s="1">
        <v>6</v>
      </c>
      <c r="P84" s="1" t="s">
        <v>503</v>
      </c>
      <c r="Q84" s="1" t="str" cm="1">
        <f t="array" ref="Q84">_xlfn.REGEXEXTRACT(C84,"(?&lt;=//)[^/]+")</f>
        <v>old.reddit.com</v>
      </c>
      <c r="R84" s="1" t="str" cm="1">
        <f t="array" ref="R84">IF(D84&lt;&gt;"z-text-or-comment",_xlfn.REGEXEXTRACT(D84,"(?&lt;=//)[^/]+"),"z-text-or-comment")</f>
        <v>www.reddit.com</v>
      </c>
      <c r="S84" s="1" t="s">
        <v>436</v>
      </c>
      <c r="T84" s="1" t="s">
        <v>430</v>
      </c>
      <c r="U84" s="1" t="s">
        <v>30</v>
      </c>
      <c r="V84" s="1" t="s">
        <v>680</v>
      </c>
    </row>
    <row r="85" spans="1:22" ht="45" x14ac:dyDescent="0.25">
      <c r="A85" s="1" t="str">
        <f t="shared" si="2"/>
        <v>Done</v>
      </c>
      <c r="B85" s="1" t="s">
        <v>70</v>
      </c>
      <c r="C85" s="1" t="s">
        <v>127</v>
      </c>
      <c r="D85" s="1" t="s">
        <v>198</v>
      </c>
      <c r="E85" s="1" t="s">
        <v>289</v>
      </c>
      <c r="F85" s="1" t="s">
        <v>249</v>
      </c>
      <c r="G85" s="1" t="s">
        <v>389</v>
      </c>
      <c r="H85" s="1" t="s">
        <v>249</v>
      </c>
      <c r="I85" s="1" t="s">
        <v>350</v>
      </c>
      <c r="J85" s="1" t="s">
        <v>30</v>
      </c>
      <c r="K85" s="1" t="s">
        <v>9</v>
      </c>
      <c r="L85" s="1" t="s">
        <v>648</v>
      </c>
      <c r="M85" s="1" t="s">
        <v>574</v>
      </c>
      <c r="N85" s="1" t="s">
        <v>3</v>
      </c>
      <c r="O85" s="1">
        <v>6</v>
      </c>
      <c r="P85" s="1" t="s">
        <v>649</v>
      </c>
      <c r="Q85" s="1" t="str" cm="1">
        <f t="array" ref="Q85">_xlfn.REGEXEXTRACT(C85,"(?&lt;=//)[^/]+")</f>
        <v>old.reddit.com</v>
      </c>
      <c r="R85" s="1" t="str" cm="1">
        <f t="array" ref="R85">IF(D85&lt;&gt;"z-text-or-comment",_xlfn.REGEXEXTRACT(D85,"(?&lt;=//)[^/]+"),"z-text-or-comment")</f>
        <v>www.redgifs.com</v>
      </c>
      <c r="S85" s="1" t="s">
        <v>436</v>
      </c>
      <c r="T85" s="1" t="s">
        <v>494</v>
      </c>
      <c r="U85" s="1" t="s">
        <v>679</v>
      </c>
      <c r="V85" s="1" t="s">
        <v>680</v>
      </c>
    </row>
    <row r="86" spans="1:22" ht="45" x14ac:dyDescent="0.25">
      <c r="A86" s="1" t="str">
        <f t="shared" si="2"/>
        <v>Done</v>
      </c>
      <c r="B86" s="1" t="s">
        <v>229</v>
      </c>
      <c r="C86" s="1" t="s">
        <v>146</v>
      </c>
      <c r="D86" s="1" t="s">
        <v>216</v>
      </c>
      <c r="E86" s="1" t="s">
        <v>298</v>
      </c>
      <c r="F86" s="1" t="s">
        <v>261</v>
      </c>
      <c r="G86" s="1" t="s">
        <v>401</v>
      </c>
      <c r="H86" s="1" t="s">
        <v>414</v>
      </c>
      <c r="I86" s="1" t="s">
        <v>369</v>
      </c>
      <c r="J86" s="1" t="s">
        <v>668</v>
      </c>
      <c r="K86" s="1" t="s">
        <v>20</v>
      </c>
      <c r="L86" s="1" t="s">
        <v>426</v>
      </c>
      <c r="M86" s="1" t="s">
        <v>427</v>
      </c>
      <c r="N86" s="1" t="s">
        <v>3</v>
      </c>
      <c r="O86" s="1">
        <v>6</v>
      </c>
      <c r="P86" s="1" t="s">
        <v>428</v>
      </c>
      <c r="Q86" s="1" t="str" cm="1">
        <f t="array" ref="Q86">_xlfn.REGEXEXTRACT(C86,"(?&lt;=//)[^/]+")</f>
        <v>old.reddit.com</v>
      </c>
      <c r="R86" s="1" t="str" cm="1">
        <f t="array" ref="R86">IF(D86&lt;&gt;"z-text-or-comment",_xlfn.REGEXEXTRACT(D86,"(?&lt;=//)[^/]+"),"z-text-or-comment")</f>
        <v>www.reddit.com</v>
      </c>
      <c r="S86" s="1" t="s">
        <v>436</v>
      </c>
      <c r="T86" s="1" t="s">
        <v>668</v>
      </c>
      <c r="U86" s="1" t="s">
        <v>30</v>
      </c>
      <c r="V86" s="1" t="s">
        <v>680</v>
      </c>
    </row>
    <row r="87" spans="1:22" ht="45" x14ac:dyDescent="0.25">
      <c r="A87" s="1" t="str">
        <f t="shared" si="2"/>
        <v>Done</v>
      </c>
      <c r="B87" s="1" t="s">
        <v>70</v>
      </c>
      <c r="C87" s="1" t="s">
        <v>140</v>
      </c>
      <c r="D87" s="1" t="s">
        <v>210</v>
      </c>
      <c r="E87" s="1" t="s">
        <v>296</v>
      </c>
      <c r="F87" s="1" t="s">
        <v>73</v>
      </c>
      <c r="G87" s="1" t="s">
        <v>389</v>
      </c>
      <c r="H87" s="1" t="s">
        <v>73</v>
      </c>
      <c r="I87" s="1" t="s">
        <v>363</v>
      </c>
      <c r="J87" s="1" t="s">
        <v>30</v>
      </c>
      <c r="K87" s="1" t="s">
        <v>7</v>
      </c>
      <c r="L87" s="1" t="s">
        <v>569</v>
      </c>
      <c r="M87" s="1" t="s">
        <v>391</v>
      </c>
      <c r="N87" s="1" t="s">
        <v>3</v>
      </c>
      <c r="O87" s="1">
        <v>8</v>
      </c>
      <c r="P87" s="1" t="s">
        <v>570</v>
      </c>
      <c r="Q87" s="1" t="str" cm="1">
        <f t="array" ref="Q87">_xlfn.REGEXEXTRACT(C87,"(?&lt;=//)[^/]+")</f>
        <v>old.reddit.com</v>
      </c>
      <c r="R87" s="1" t="str" cm="1">
        <f t="array" ref="R87">IF(D87&lt;&gt;"z-text-or-comment",_xlfn.REGEXEXTRACT(D87,"(?&lt;=//)[^/]+"),"z-text-or-comment")</f>
        <v>www.redgifs.com</v>
      </c>
      <c r="S87" s="1" t="s">
        <v>436</v>
      </c>
      <c r="T87" s="1" t="s">
        <v>483</v>
      </c>
      <c r="U87" s="1" t="s">
        <v>30</v>
      </c>
      <c r="V87" s="1" t="s">
        <v>680</v>
      </c>
    </row>
    <row r="88" spans="1:22" ht="30" x14ac:dyDescent="0.25">
      <c r="A88" s="1" t="str">
        <f t="shared" si="2"/>
        <v>Done</v>
      </c>
      <c r="B88" s="1" t="s">
        <v>70</v>
      </c>
      <c r="C88" s="1" t="s">
        <v>129</v>
      </c>
      <c r="D88" s="1" t="s">
        <v>200</v>
      </c>
      <c r="E88" s="1" t="s">
        <v>291</v>
      </c>
      <c r="F88" s="1" t="s">
        <v>74</v>
      </c>
      <c r="G88" s="1" t="s">
        <v>389</v>
      </c>
      <c r="H88" s="1" t="s">
        <v>74</v>
      </c>
      <c r="I88" s="1" t="s">
        <v>352</v>
      </c>
      <c r="J88" s="1" t="s">
        <v>30</v>
      </c>
      <c r="K88" s="1" t="s">
        <v>9</v>
      </c>
      <c r="L88" s="1" t="s">
        <v>656</v>
      </c>
      <c r="M88" s="1" t="s">
        <v>654</v>
      </c>
      <c r="N88" s="1" t="s">
        <v>3</v>
      </c>
      <c r="O88" s="1">
        <v>8</v>
      </c>
      <c r="P88" s="1" t="s">
        <v>655</v>
      </c>
      <c r="Q88" s="1" t="str" cm="1">
        <f t="array" ref="Q88">_xlfn.REGEXEXTRACT(C88,"(?&lt;=//)[^/]+")</f>
        <v>old.reddit.com</v>
      </c>
      <c r="R88" s="1" t="str" cm="1">
        <f t="array" ref="R88">IF(D88&lt;&gt;"z-text-or-comment",_xlfn.REGEXEXTRACT(D88,"(?&lt;=//)[^/]+"),"z-text-or-comment")</f>
        <v>v3.redgifs.com</v>
      </c>
      <c r="S88" s="1" t="s">
        <v>436</v>
      </c>
      <c r="T88" s="1" t="s">
        <v>437</v>
      </c>
      <c r="U88" s="1" t="s">
        <v>30</v>
      </c>
      <c r="V88" s="1" t="s">
        <v>680</v>
      </c>
    </row>
    <row r="89" spans="1:22" ht="45" x14ac:dyDescent="0.25">
      <c r="A89" s="1" t="str">
        <f t="shared" si="2"/>
        <v>Done</v>
      </c>
      <c r="B89" s="1" t="s">
        <v>70</v>
      </c>
      <c r="C89" s="1" t="s">
        <v>144</v>
      </c>
      <c r="D89" s="1" t="s">
        <v>214</v>
      </c>
      <c r="E89" s="1" t="s">
        <v>287</v>
      </c>
      <c r="F89" s="1" t="s">
        <v>247</v>
      </c>
      <c r="G89" s="1" t="s">
        <v>389</v>
      </c>
      <c r="H89" s="1" t="s">
        <v>247</v>
      </c>
      <c r="I89" s="1" t="s">
        <v>367</v>
      </c>
      <c r="J89" s="1" t="s">
        <v>30</v>
      </c>
      <c r="K89" s="1" t="s">
        <v>9</v>
      </c>
      <c r="L89" s="1" t="s">
        <v>657</v>
      </c>
      <c r="M89" s="1" t="s">
        <v>574</v>
      </c>
      <c r="N89" s="1" t="s">
        <v>3</v>
      </c>
      <c r="O89" s="1">
        <v>8</v>
      </c>
      <c r="P89" s="1" t="s">
        <v>658</v>
      </c>
      <c r="Q89" s="1" t="str" cm="1">
        <f t="array" ref="Q89">_xlfn.REGEXEXTRACT(C89,"(?&lt;=//)[^/]+")</f>
        <v>old.reddit.com</v>
      </c>
      <c r="R89" s="1" t="str" cm="1">
        <f t="array" ref="R89">IF(D89&lt;&gt;"z-text-or-comment",_xlfn.REGEXEXTRACT(D89,"(?&lt;=//)[^/]+"),"z-text-or-comment")</f>
        <v>redgifs.com</v>
      </c>
      <c r="S89" s="1" t="s">
        <v>436</v>
      </c>
      <c r="T89" s="1" t="s">
        <v>449</v>
      </c>
      <c r="U89" s="1" t="s">
        <v>30</v>
      </c>
      <c r="V89" s="1" t="s">
        <v>680</v>
      </c>
    </row>
    <row r="90" spans="1:22" ht="45" x14ac:dyDescent="0.25">
      <c r="A90" s="1" t="str">
        <f t="shared" si="2"/>
        <v>Done</v>
      </c>
      <c r="B90" s="1" t="s">
        <v>70</v>
      </c>
      <c r="C90" s="1" t="s">
        <v>125</v>
      </c>
      <c r="D90" s="1" t="s">
        <v>196</v>
      </c>
      <c r="E90" s="1" t="s">
        <v>287</v>
      </c>
      <c r="F90" s="1" t="s">
        <v>247</v>
      </c>
      <c r="G90" s="1" t="s">
        <v>389</v>
      </c>
      <c r="H90" s="1" t="s">
        <v>247</v>
      </c>
      <c r="I90" s="1" t="s">
        <v>348</v>
      </c>
      <c r="J90" s="1" t="s">
        <v>30</v>
      </c>
      <c r="K90" s="1" t="s">
        <v>9</v>
      </c>
      <c r="L90" s="1" t="s">
        <v>663</v>
      </c>
      <c r="M90" s="1" t="s">
        <v>427</v>
      </c>
      <c r="N90" s="1" t="s">
        <v>3</v>
      </c>
      <c r="O90" s="1">
        <v>9</v>
      </c>
      <c r="P90" s="1" t="s">
        <v>664</v>
      </c>
      <c r="Q90" s="1" t="str" cm="1">
        <f t="array" ref="Q90">_xlfn.REGEXEXTRACT(C90,"(?&lt;=//)[^/]+")</f>
        <v>old.reddit.com</v>
      </c>
      <c r="R90" s="1" t="str" cm="1">
        <f t="array" ref="R90">IF(D90&lt;&gt;"z-text-or-comment",_xlfn.REGEXEXTRACT(D90,"(?&lt;=//)[^/]+"),"z-text-or-comment")</f>
        <v>redgifs.com</v>
      </c>
      <c r="S90" s="1" t="s">
        <v>436</v>
      </c>
      <c r="T90" s="1" t="s">
        <v>450</v>
      </c>
      <c r="U90" s="1" t="s">
        <v>30</v>
      </c>
      <c r="V90" s="1" t="s">
        <v>680</v>
      </c>
    </row>
    <row r="91" spans="1:22" ht="45" x14ac:dyDescent="0.25">
      <c r="A91" s="1" t="str">
        <f t="shared" si="2"/>
        <v>Done</v>
      </c>
      <c r="B91" s="1" t="s">
        <v>70</v>
      </c>
      <c r="C91" s="1" t="s">
        <v>82</v>
      </c>
      <c r="D91" s="1" t="s">
        <v>169</v>
      </c>
      <c r="E91" s="1" t="s">
        <v>277</v>
      </c>
      <c r="F91" s="1" t="s">
        <v>67</v>
      </c>
      <c r="G91" s="1" t="s">
        <v>389</v>
      </c>
      <c r="H91" s="1" t="s">
        <v>67</v>
      </c>
      <c r="I91" s="1" t="s">
        <v>311</v>
      </c>
      <c r="J91" s="1" t="s">
        <v>30</v>
      </c>
      <c r="K91" s="1" t="s">
        <v>9</v>
      </c>
      <c r="L91" s="1" t="s">
        <v>607</v>
      </c>
      <c r="M91" s="1" t="s">
        <v>427</v>
      </c>
      <c r="N91" s="1" t="s">
        <v>3</v>
      </c>
      <c r="O91" s="1">
        <v>8</v>
      </c>
      <c r="P91" s="1" t="s">
        <v>606</v>
      </c>
      <c r="Q91" s="1" t="str" cm="1">
        <f t="array" ref="Q91">_xlfn.REGEXEXTRACT(C91,"(?&lt;=//)[^/]+")</f>
        <v>old.reddit.com</v>
      </c>
      <c r="R91" s="1" t="str" cm="1">
        <f t="array" ref="R91">IF(D91&lt;&gt;"z-text-or-comment",_xlfn.REGEXEXTRACT(D91,"(?&lt;=//)[^/]+"),"z-text-or-comment")</f>
        <v>www.redgifs.com</v>
      </c>
      <c r="S91" s="1" t="s">
        <v>436</v>
      </c>
      <c r="T91" s="1" t="s">
        <v>458</v>
      </c>
      <c r="U91" s="1" t="s">
        <v>30</v>
      </c>
      <c r="V91" s="1" t="s">
        <v>680</v>
      </c>
    </row>
    <row r="92" spans="1:22" ht="45" x14ac:dyDescent="0.25">
      <c r="A92" s="1" t="str">
        <f t="shared" si="2"/>
        <v>Done</v>
      </c>
      <c r="B92" s="1" t="s">
        <v>70</v>
      </c>
      <c r="C92" s="1" t="s">
        <v>84</v>
      </c>
      <c r="D92" s="1" t="s">
        <v>171</v>
      </c>
      <c r="E92" s="1" t="s">
        <v>277</v>
      </c>
      <c r="F92" s="1" t="s">
        <v>67</v>
      </c>
      <c r="G92" s="1" t="s">
        <v>389</v>
      </c>
      <c r="H92" s="1" t="s">
        <v>67</v>
      </c>
      <c r="I92" s="1" t="s">
        <v>313</v>
      </c>
      <c r="J92" s="1" t="s">
        <v>30</v>
      </c>
      <c r="K92" s="1" t="s">
        <v>9</v>
      </c>
      <c r="L92" s="1" t="s">
        <v>610</v>
      </c>
      <c r="M92" s="1" t="s">
        <v>427</v>
      </c>
      <c r="N92" s="1" t="s">
        <v>3</v>
      </c>
      <c r="O92" s="1">
        <v>9</v>
      </c>
      <c r="P92" s="1" t="s">
        <v>611</v>
      </c>
      <c r="Q92" s="1" t="str" cm="1">
        <f t="array" ref="Q92">_xlfn.REGEXEXTRACT(C92,"(?&lt;=//)[^/]+")</f>
        <v>old.reddit.com</v>
      </c>
      <c r="R92" s="1" t="str" cm="1">
        <f t="array" ref="R92">IF(D92&lt;&gt;"z-text-or-comment",_xlfn.REGEXEXTRACT(D92,"(?&lt;=//)[^/]+"),"z-text-or-comment")</f>
        <v>www.redgifs.com</v>
      </c>
      <c r="S92" s="1" t="s">
        <v>436</v>
      </c>
      <c r="T92" s="1" t="s">
        <v>460</v>
      </c>
      <c r="U92" s="1" t="s">
        <v>30</v>
      </c>
      <c r="V92" s="1" t="s">
        <v>680</v>
      </c>
    </row>
    <row r="93" spans="1:22" ht="45" x14ac:dyDescent="0.25">
      <c r="A93" s="1" t="str">
        <f t="shared" si="2"/>
        <v>Done</v>
      </c>
      <c r="B93" s="1" t="s">
        <v>71</v>
      </c>
      <c r="C93" s="1" t="s">
        <v>111</v>
      </c>
      <c r="D93" s="1" t="s">
        <v>415</v>
      </c>
      <c r="E93" s="1" t="s">
        <v>277</v>
      </c>
      <c r="F93" s="1" t="s">
        <v>67</v>
      </c>
      <c r="G93" s="1" t="s">
        <v>389</v>
      </c>
      <c r="H93" s="1" t="s">
        <v>67</v>
      </c>
      <c r="I93" s="1" t="s">
        <v>336</v>
      </c>
      <c r="J93" s="1" t="s">
        <v>703</v>
      </c>
      <c r="K93" s="1" t="s">
        <v>9</v>
      </c>
      <c r="L93" s="1" t="s">
        <v>577</v>
      </c>
      <c r="M93" s="1" t="s">
        <v>415</v>
      </c>
      <c r="N93" s="1" t="s">
        <v>3</v>
      </c>
      <c r="O93" s="1">
        <v>5</v>
      </c>
      <c r="P93" s="1" t="s">
        <v>510</v>
      </c>
      <c r="Q93" s="1" t="str" cm="1">
        <f t="array" ref="Q93">_xlfn.REGEXEXTRACT(C93,"(?&lt;=//)[^/]+")</f>
        <v>old.reddit.com</v>
      </c>
      <c r="R93" s="1" t="str" cm="1">
        <f t="array" ref="R93">IF(D93&lt;&gt;"z-text-or-comment",_xlfn.REGEXEXTRACT(D93,"(?&lt;=//)[^/]+"),"z-text-or-comment")</f>
        <v>z-text-or-comment</v>
      </c>
      <c r="S93" s="1" t="s">
        <v>436</v>
      </c>
      <c r="T93" s="1" t="s">
        <v>419</v>
      </c>
      <c r="U93" s="1" t="s">
        <v>30</v>
      </c>
      <c r="V93" s="1" t="s">
        <v>680</v>
      </c>
    </row>
    <row r="94" spans="1:22" ht="45" x14ac:dyDescent="0.25">
      <c r="A94" s="1" t="str">
        <f t="shared" si="2"/>
        <v>Done</v>
      </c>
      <c r="B94" s="1" t="s">
        <v>70</v>
      </c>
      <c r="C94" s="1" t="s">
        <v>85</v>
      </c>
      <c r="D94" s="1" t="s">
        <v>172</v>
      </c>
      <c r="E94" s="1" t="s">
        <v>277</v>
      </c>
      <c r="F94" s="1" t="s">
        <v>67</v>
      </c>
      <c r="G94" s="1" t="s">
        <v>389</v>
      </c>
      <c r="H94" s="1" t="s">
        <v>67</v>
      </c>
      <c r="I94" s="1" t="s">
        <v>314</v>
      </c>
      <c r="J94" s="1" t="s">
        <v>30</v>
      </c>
      <c r="K94" s="1" t="s">
        <v>9</v>
      </c>
      <c r="L94" s="1" t="s">
        <v>640</v>
      </c>
      <c r="M94" s="1" t="s">
        <v>391</v>
      </c>
      <c r="N94" s="1" t="s">
        <v>3</v>
      </c>
      <c r="O94" s="1">
        <v>8</v>
      </c>
      <c r="P94" s="1" t="s">
        <v>641</v>
      </c>
      <c r="Q94" s="1" t="str" cm="1">
        <f t="array" ref="Q94">_xlfn.REGEXEXTRACT(C94,"(?&lt;=//)[^/]+")</f>
        <v>old.reddit.com</v>
      </c>
      <c r="R94" s="1" t="str" cm="1">
        <f t="array" ref="R94">IF(D94&lt;&gt;"z-text-or-comment",_xlfn.REGEXEXTRACT(D94,"(?&lt;=//)[^/]+"),"z-text-or-comment")</f>
        <v>www.redgifs.com</v>
      </c>
      <c r="S94" s="1" t="s">
        <v>436</v>
      </c>
      <c r="T94" s="1" t="s">
        <v>475</v>
      </c>
      <c r="U94" s="1" t="s">
        <v>30</v>
      </c>
      <c r="V94" s="1" t="s">
        <v>680</v>
      </c>
    </row>
    <row r="95" spans="1:22" ht="45" x14ac:dyDescent="0.25">
      <c r="A95" s="1" t="str">
        <f t="shared" si="2"/>
        <v>Done</v>
      </c>
      <c r="B95" s="1" t="s">
        <v>229</v>
      </c>
      <c r="C95" s="1" t="s">
        <v>101</v>
      </c>
      <c r="D95" s="1" t="s">
        <v>186</v>
      </c>
      <c r="E95" s="1" t="s">
        <v>277</v>
      </c>
      <c r="F95" s="1" t="s">
        <v>67</v>
      </c>
      <c r="G95" s="1" t="s">
        <v>389</v>
      </c>
      <c r="H95" s="1" t="s">
        <v>67</v>
      </c>
      <c r="I95" s="1" t="s">
        <v>328</v>
      </c>
      <c r="J95" s="1" t="s">
        <v>425</v>
      </c>
      <c r="K95" s="1" t="s">
        <v>9</v>
      </c>
      <c r="L95" s="1" t="s">
        <v>580</v>
      </c>
      <c r="M95" s="1" t="s">
        <v>496</v>
      </c>
      <c r="N95" s="1" t="s">
        <v>3</v>
      </c>
      <c r="O95" s="1">
        <v>4</v>
      </c>
      <c r="P95" s="1" t="s">
        <v>504</v>
      </c>
      <c r="Q95" s="1" t="str" cm="1">
        <f t="array" ref="Q95">_xlfn.REGEXEXTRACT(C95,"(?&lt;=//)[^/]+")</f>
        <v>old.reddit.com</v>
      </c>
      <c r="R95" s="1" t="str" cm="1">
        <f t="array" ref="R95">IF(D95&lt;&gt;"z-text-or-comment",_xlfn.REGEXEXTRACT(D95,"(?&lt;=//)[^/]+"),"z-text-or-comment")</f>
        <v>i.redd.it</v>
      </c>
      <c r="S95" s="1" t="s">
        <v>436</v>
      </c>
      <c r="T95" s="1" t="s">
        <v>425</v>
      </c>
      <c r="U95" s="1" t="s">
        <v>30</v>
      </c>
      <c r="V95" s="1" t="s">
        <v>680</v>
      </c>
    </row>
  </sheetData>
  <autoFilter ref="A1:V95" xr:uid="{84BC93B7-B882-48B2-AAF6-D1E0B3702CB8}">
    <sortState xmlns:xlrd2="http://schemas.microsoft.com/office/spreadsheetml/2017/richdata2" ref="A2:V95">
      <sortCondition ref="C1:C95"/>
    </sortState>
  </autoFilter>
  <sortState xmlns:xlrd2="http://schemas.microsoft.com/office/spreadsheetml/2017/richdata2" ref="A2:V97">
    <sortCondition ref="C1:C97"/>
  </sortState>
  <phoneticPr fontId="1" type="noConversion"/>
  <conditionalFormatting sqref="A1:XFD1048576">
    <cfRule type="expression" dxfId="3" priority="28">
      <formula>$V1="Yes"</formula>
    </cfRule>
    <cfRule type="expression" dxfId="2" priority="29">
      <formula>$A1="Pending"</formula>
    </cfRule>
  </conditionalFormatting>
  <conditionalFormatting sqref="I1:I1048576">
    <cfRule type="duplicateValues" dxfId="1" priority="2"/>
  </conditionalFormatting>
  <conditionalFormatting sqref="J1:J1048576">
    <cfRule type="duplicateValues" dxfId="0" priority="4"/>
  </conditionalFormatting>
  <conditionalFormatting sqref="O1:O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D58" r:id="rId1" xr:uid="{1D3A9804-485F-4BF4-8D81-DD9F7AC3EDA3}"/>
  </hyperlinks>
  <printOptions horizontalCentered="1" verticalCentered="1"/>
  <pageMargins left="0" right="0" top="0" bottom="0" header="0" footer="0"/>
  <pageSetup paperSize="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F2D5-8484-4D0C-86D0-D24E81A20C64}">
  <dimension ref="A1:J44"/>
  <sheetViews>
    <sheetView zoomScale="85" zoomScaleNormal="85" workbookViewId="0">
      <selection activeCell="H22" sqref="H22"/>
    </sheetView>
  </sheetViews>
  <sheetFormatPr defaultRowHeight="15" x14ac:dyDescent="0.25"/>
  <cols>
    <col min="1" max="1" width="7.28515625" style="8" bestFit="1" customWidth="1"/>
    <col min="2" max="2" width="7.7109375" style="8" bestFit="1" customWidth="1"/>
    <col min="3" max="3" width="9.42578125" style="8" bestFit="1" customWidth="1"/>
    <col min="4" max="4" width="9.42578125" style="8" customWidth="1"/>
    <col min="5" max="5" width="24.28515625" style="8" bestFit="1" customWidth="1"/>
    <col min="6" max="6" width="7.28515625" style="8" bestFit="1" customWidth="1"/>
    <col min="7" max="7" width="17.7109375" style="8" customWidth="1"/>
    <col min="8" max="8" width="42.5703125" style="8" bestFit="1" customWidth="1"/>
    <col min="9" max="9" width="58.42578125" style="8" customWidth="1"/>
    <col min="10" max="10" width="49.140625" style="8" bestFit="1" customWidth="1"/>
    <col min="11" max="18" width="9.140625" style="8"/>
    <col min="19" max="19" width="7.28515625" style="8" bestFit="1" customWidth="1"/>
    <col min="20" max="20" width="7.7109375" style="8" bestFit="1" customWidth="1"/>
    <col min="21" max="21" width="9.42578125" style="8" bestFit="1" customWidth="1"/>
    <col min="22" max="16384" width="9.140625" style="8"/>
  </cols>
  <sheetData>
    <row r="1" spans="1:10" x14ac:dyDescent="0.25">
      <c r="A1" s="4" t="s">
        <v>10</v>
      </c>
      <c r="B1" s="5" t="s">
        <v>11</v>
      </c>
      <c r="C1" s="6" t="s">
        <v>13</v>
      </c>
      <c r="D1" s="7"/>
      <c r="E1" s="5" t="str">
        <f>_xlfn.CONCAT(A1,"-",B1,"-",C1)</f>
        <v>bdsm-soft-maledom</v>
      </c>
      <c r="G1" s="18" t="s">
        <v>55</v>
      </c>
      <c r="H1" s="18" t="s">
        <v>34</v>
      </c>
      <c r="I1" s="18" t="s">
        <v>33</v>
      </c>
      <c r="J1" s="18" t="s">
        <v>56</v>
      </c>
    </row>
    <row r="2" spans="1:10" x14ac:dyDescent="0.25">
      <c r="A2" s="4" t="s">
        <v>10</v>
      </c>
      <c r="B2" s="5" t="s">
        <v>11</v>
      </c>
      <c r="C2" s="9" t="s">
        <v>14</v>
      </c>
      <c r="D2" s="10"/>
      <c r="E2" s="5" t="str">
        <f t="shared" ref="E2:E6" si="0">_xlfn.CONCAT(A2,"-",B2,"-",C2)</f>
        <v>bdsm-soft-femdom</v>
      </c>
      <c r="G2" s="19" t="s">
        <v>21</v>
      </c>
      <c r="H2" s="19" t="s">
        <v>36</v>
      </c>
      <c r="I2" s="19" t="s">
        <v>35</v>
      </c>
      <c r="J2" s="19" t="s">
        <v>57</v>
      </c>
    </row>
    <row r="3" spans="1:10" x14ac:dyDescent="0.25">
      <c r="A3" s="4" t="s">
        <v>10</v>
      </c>
      <c r="B3" s="5" t="s">
        <v>11</v>
      </c>
      <c r="C3" s="11" t="s">
        <v>15</v>
      </c>
      <c r="D3" s="10"/>
      <c r="E3" s="5" t="str">
        <f t="shared" si="0"/>
        <v>bdsm-soft-lesdom</v>
      </c>
      <c r="G3" s="19" t="s">
        <v>39</v>
      </c>
      <c r="H3" s="19" t="s">
        <v>37</v>
      </c>
      <c r="I3" s="19" t="s">
        <v>35</v>
      </c>
      <c r="J3" s="19" t="s">
        <v>58</v>
      </c>
    </row>
    <row r="4" spans="1:10" x14ac:dyDescent="0.25">
      <c r="A4" s="4" t="s">
        <v>10</v>
      </c>
      <c r="B4" s="12" t="s">
        <v>12</v>
      </c>
      <c r="C4" s="6" t="s">
        <v>13</v>
      </c>
      <c r="D4" s="10"/>
      <c r="E4" s="12" t="str">
        <f t="shared" si="0"/>
        <v>bdsm-hard-maledom</v>
      </c>
      <c r="G4" s="19" t="s">
        <v>38</v>
      </c>
      <c r="H4" s="19" t="s">
        <v>40</v>
      </c>
      <c r="I4" s="19" t="s">
        <v>35</v>
      </c>
      <c r="J4" s="19" t="s">
        <v>65</v>
      </c>
    </row>
    <row r="5" spans="1:10" x14ac:dyDescent="0.25">
      <c r="A5" s="4" t="s">
        <v>10</v>
      </c>
      <c r="B5" s="12" t="s">
        <v>12</v>
      </c>
      <c r="C5" s="9" t="s">
        <v>14</v>
      </c>
      <c r="D5" s="10"/>
      <c r="E5" s="12" t="str">
        <f t="shared" si="0"/>
        <v>bdsm-hard-femdom</v>
      </c>
      <c r="G5" s="19" t="s">
        <v>31</v>
      </c>
      <c r="H5" s="19" t="s">
        <v>41</v>
      </c>
      <c r="I5" s="19" t="s">
        <v>35</v>
      </c>
      <c r="J5" s="19" t="s">
        <v>59</v>
      </c>
    </row>
    <row r="6" spans="1:10" x14ac:dyDescent="0.25">
      <c r="A6" s="4" t="s">
        <v>10</v>
      </c>
      <c r="B6" s="12" t="s">
        <v>12</v>
      </c>
      <c r="C6" s="11" t="s">
        <v>15</v>
      </c>
      <c r="D6" s="10"/>
      <c r="E6" s="12" t="str">
        <f t="shared" si="0"/>
        <v>bdsm-hard-lesdom</v>
      </c>
      <c r="G6" s="19" t="s">
        <v>0</v>
      </c>
      <c r="H6" s="19" t="s">
        <v>42</v>
      </c>
      <c r="I6" s="19" t="s">
        <v>35</v>
      </c>
      <c r="J6" s="19" t="s">
        <v>58</v>
      </c>
    </row>
    <row r="7" spans="1:10" x14ac:dyDescent="0.25">
      <c r="G7" s="19" t="s">
        <v>32</v>
      </c>
      <c r="H7" s="19" t="s">
        <v>43</v>
      </c>
      <c r="I7" s="19" t="s">
        <v>35</v>
      </c>
      <c r="J7" s="19" t="s">
        <v>58</v>
      </c>
    </row>
    <row r="8" spans="1:10" x14ac:dyDescent="0.25">
      <c r="A8" s="13" t="s">
        <v>16</v>
      </c>
      <c r="B8" s="14" t="s">
        <v>17</v>
      </c>
      <c r="C8" s="15" t="s">
        <v>19</v>
      </c>
      <c r="E8" s="14" t="str">
        <f>_xlfn.CONCAT(A8,"-",B8,"-",C8)</f>
        <v>normal-rough-cis</v>
      </c>
      <c r="G8" s="19" t="s">
        <v>68</v>
      </c>
      <c r="H8" s="19" t="s">
        <v>69</v>
      </c>
      <c r="I8" s="19" t="s">
        <v>35</v>
      </c>
      <c r="J8" s="19" t="s">
        <v>58</v>
      </c>
    </row>
    <row r="9" spans="1:10" x14ac:dyDescent="0.25">
      <c r="A9" s="13" t="s">
        <v>16</v>
      </c>
      <c r="B9" s="14" t="s">
        <v>17</v>
      </c>
      <c r="C9" s="6" t="s">
        <v>13</v>
      </c>
      <c r="E9" s="14" t="str">
        <f t="shared" ref="E9:E17" si="1">_xlfn.CONCAT(A9,"-",B9,"-",C9)</f>
        <v>normal-rough-maledom</v>
      </c>
      <c r="G9" s="19" t="s">
        <v>2</v>
      </c>
      <c r="H9" s="19" t="s">
        <v>44</v>
      </c>
      <c r="I9" s="19" t="s">
        <v>35</v>
      </c>
      <c r="J9" s="19" t="s">
        <v>60</v>
      </c>
    </row>
    <row r="10" spans="1:10" x14ac:dyDescent="0.25">
      <c r="A10" s="13" t="s">
        <v>16</v>
      </c>
      <c r="B10" s="14" t="s">
        <v>17</v>
      </c>
      <c r="C10" s="9" t="s">
        <v>14</v>
      </c>
      <c r="E10" s="14" t="str">
        <f t="shared" si="1"/>
        <v>normal-rough-femdom</v>
      </c>
      <c r="G10" s="19" t="s">
        <v>22</v>
      </c>
      <c r="H10" s="19" t="s">
        <v>45</v>
      </c>
      <c r="I10" s="19" t="s">
        <v>35</v>
      </c>
      <c r="J10" s="19" t="s">
        <v>58</v>
      </c>
    </row>
    <row r="11" spans="1:10" x14ac:dyDescent="0.25">
      <c r="A11" s="13" t="s">
        <v>16</v>
      </c>
      <c r="B11" s="14" t="s">
        <v>17</v>
      </c>
      <c r="C11" s="11" t="s">
        <v>15</v>
      </c>
      <c r="E11" s="14" t="str">
        <f t="shared" si="1"/>
        <v>normal-rough-lesdom</v>
      </c>
      <c r="G11" s="19" t="s">
        <v>23</v>
      </c>
      <c r="H11" s="19" t="s">
        <v>45</v>
      </c>
      <c r="I11" s="19" t="s">
        <v>35</v>
      </c>
      <c r="J11" s="19" t="s">
        <v>58</v>
      </c>
    </row>
    <row r="12" spans="1:10" x14ac:dyDescent="0.25">
      <c r="A12" s="13" t="s">
        <v>16</v>
      </c>
      <c r="B12" s="14" t="s">
        <v>17</v>
      </c>
      <c r="C12" s="16" t="s">
        <v>6</v>
      </c>
      <c r="E12" s="14" t="str">
        <f t="shared" si="1"/>
        <v>normal-rough-lesbian</v>
      </c>
      <c r="G12" s="19" t="s">
        <v>1</v>
      </c>
      <c r="H12" s="19" t="s">
        <v>46</v>
      </c>
      <c r="I12" s="19" t="s">
        <v>35</v>
      </c>
      <c r="J12" s="19" t="s">
        <v>58</v>
      </c>
    </row>
    <row r="13" spans="1:10" x14ac:dyDescent="0.25">
      <c r="A13" s="13" t="s">
        <v>16</v>
      </c>
      <c r="B13" s="17" t="s">
        <v>18</v>
      </c>
      <c r="C13" s="15" t="s">
        <v>19</v>
      </c>
      <c r="E13" s="17" t="str">
        <f t="shared" si="1"/>
        <v>normal-sensual-cis</v>
      </c>
      <c r="G13" s="19" t="s">
        <v>5</v>
      </c>
      <c r="H13" s="19" t="s">
        <v>47</v>
      </c>
      <c r="I13" s="19" t="s">
        <v>48</v>
      </c>
      <c r="J13" s="19" t="s">
        <v>63</v>
      </c>
    </row>
    <row r="14" spans="1:10" x14ac:dyDescent="0.25">
      <c r="A14" s="13" t="s">
        <v>16</v>
      </c>
      <c r="B14" s="17" t="s">
        <v>18</v>
      </c>
      <c r="C14" s="6" t="s">
        <v>13</v>
      </c>
      <c r="E14" s="17" t="str">
        <f t="shared" si="1"/>
        <v>normal-sensual-maledom</v>
      </c>
      <c r="G14" s="19" t="s">
        <v>4</v>
      </c>
      <c r="H14" s="19" t="s">
        <v>45</v>
      </c>
      <c r="I14" s="19" t="s">
        <v>35</v>
      </c>
      <c r="J14" s="19" t="s">
        <v>58</v>
      </c>
    </row>
    <row r="15" spans="1:10" x14ac:dyDescent="0.25">
      <c r="A15" s="13" t="s">
        <v>16</v>
      </c>
      <c r="B15" s="17" t="s">
        <v>18</v>
      </c>
      <c r="C15" s="9" t="s">
        <v>14</v>
      </c>
      <c r="E15" s="17" t="str">
        <f t="shared" si="1"/>
        <v>normal-sensual-femdom</v>
      </c>
      <c r="G15" s="19" t="s">
        <v>49</v>
      </c>
      <c r="H15" s="19" t="s">
        <v>51</v>
      </c>
      <c r="I15" s="19" t="s">
        <v>35</v>
      </c>
      <c r="J15" s="19" t="s">
        <v>62</v>
      </c>
    </row>
    <row r="16" spans="1:10" x14ac:dyDescent="0.25">
      <c r="A16" s="13" t="s">
        <v>16</v>
      </c>
      <c r="B16" s="17" t="s">
        <v>18</v>
      </c>
      <c r="C16" s="11" t="s">
        <v>15</v>
      </c>
      <c r="E16" s="17" t="str">
        <f t="shared" si="1"/>
        <v>normal-sensual-lesdom</v>
      </c>
      <c r="G16" s="19" t="s">
        <v>50</v>
      </c>
      <c r="H16" s="19" t="s">
        <v>40</v>
      </c>
      <c r="I16" s="19" t="s">
        <v>35</v>
      </c>
      <c r="J16" s="19" t="s">
        <v>61</v>
      </c>
    </row>
    <row r="17" spans="1:10" x14ac:dyDescent="0.25">
      <c r="A17" s="13" t="s">
        <v>16</v>
      </c>
      <c r="B17" s="17" t="s">
        <v>18</v>
      </c>
      <c r="C17" s="16" t="s">
        <v>6</v>
      </c>
      <c r="E17" s="17" t="str">
        <f t="shared" si="1"/>
        <v>normal-sensual-lesbian</v>
      </c>
      <c r="G17" s="19" t="s">
        <v>26</v>
      </c>
      <c r="H17" s="19" t="s">
        <v>52</v>
      </c>
      <c r="I17" s="19" t="s">
        <v>35</v>
      </c>
      <c r="J17" s="19" t="s">
        <v>57</v>
      </c>
    </row>
    <row r="18" spans="1:10" ht="30" x14ac:dyDescent="0.25">
      <c r="G18" s="19" t="s">
        <v>25</v>
      </c>
      <c r="H18" s="19" t="s">
        <v>53</v>
      </c>
      <c r="I18" s="19" t="s">
        <v>35</v>
      </c>
      <c r="J18" s="19" t="s">
        <v>64</v>
      </c>
    </row>
    <row r="19" spans="1:10" ht="30" x14ac:dyDescent="0.25">
      <c r="G19" s="19" t="s">
        <v>24</v>
      </c>
      <c r="H19" s="19" t="s">
        <v>54</v>
      </c>
      <c r="I19" s="19" t="s">
        <v>35</v>
      </c>
      <c r="J19" s="19" t="s">
        <v>64</v>
      </c>
    </row>
    <row r="20" spans="1:10" ht="30" x14ac:dyDescent="0.25">
      <c r="G20" s="19" t="s">
        <v>27</v>
      </c>
      <c r="H20" s="19" t="s">
        <v>53</v>
      </c>
      <c r="I20" s="19" t="s">
        <v>35</v>
      </c>
      <c r="J20" s="19" t="s">
        <v>64</v>
      </c>
    </row>
    <row r="23" spans="1:10" x14ac:dyDescent="0.25">
      <c r="G23" s="13" t="s">
        <v>21</v>
      </c>
      <c r="H23" s="13" t="s">
        <v>705</v>
      </c>
      <c r="I23" s="8" t="str">
        <f>_xlfn.TEXTJOIN("",TRUE,G23," -&gt; ",H23)</f>
        <v>flag -&gt; done, pending</v>
      </c>
    </row>
    <row r="24" spans="1:10" x14ac:dyDescent="0.25">
      <c r="G24" s="13" t="s">
        <v>31</v>
      </c>
      <c r="H24" s="13" t="s">
        <v>706</v>
      </c>
      <c r="I24" s="8" t="str">
        <f t="shared" ref="I24:I44" si="2">_xlfn.TEXTJOIN("",TRUE,G24," -&gt; ",H24)</f>
        <v>type -&gt; gif,text,img</v>
      </c>
    </row>
    <row r="25" spans="1:10" x14ac:dyDescent="0.25">
      <c r="G25" s="13" t="s">
        <v>39</v>
      </c>
      <c r="H25" s="13" t="s">
        <v>707</v>
      </c>
      <c r="I25" s="8" t="str">
        <f t="shared" si="2"/>
        <v>reddit_link -&gt; reddit link</v>
      </c>
    </row>
    <row r="26" spans="1:10" ht="30" x14ac:dyDescent="0.25">
      <c r="G26" s="13" t="s">
        <v>38</v>
      </c>
      <c r="H26" s="13" t="s">
        <v>725</v>
      </c>
      <c r="I26" s="8" t="str">
        <f t="shared" si="2"/>
        <v>site_link -&gt; redgifs,reddit.i or z-text-or-comment (if text or comment)</v>
      </c>
    </row>
    <row r="27" spans="1:10" x14ac:dyDescent="0.25">
      <c r="G27" s="13" t="s">
        <v>275</v>
      </c>
      <c r="H27" s="13" t="s">
        <v>708</v>
      </c>
      <c r="I27" s="8" t="str">
        <f t="shared" si="2"/>
        <v>subreddit -&gt; subreddit name</v>
      </c>
    </row>
    <row r="28" spans="1:10" ht="45" x14ac:dyDescent="0.25">
      <c r="G28" s="13" t="s">
        <v>385</v>
      </c>
      <c r="H28" s="13" t="s">
        <v>709</v>
      </c>
      <c r="I28" s="8" t="str">
        <f t="shared" si="2"/>
        <v>content_source -&gt; professional studio name,z-user-source (if ameture user uploaded), y-generic-source (professional but not very well known)</v>
      </c>
    </row>
    <row r="29" spans="1:10" x14ac:dyDescent="0.25">
      <c r="G29" s="13" t="s">
        <v>32</v>
      </c>
      <c r="H29" s="13" t="s">
        <v>710</v>
      </c>
      <c r="I29" s="8" t="str">
        <f t="shared" si="2"/>
        <v>user -&gt; username of the uploader</v>
      </c>
    </row>
    <row r="30" spans="1:10" ht="45" x14ac:dyDescent="0.25">
      <c r="G30" s="13" t="s">
        <v>68</v>
      </c>
      <c r="H30" s="13" t="s">
        <v>711</v>
      </c>
      <c r="I30" s="8" t="str">
        <f t="shared" si="2"/>
        <v>star -&gt; username of the uploader(if ameture), name of an actual well known star,z-unknown-star (if not ameture but not very well known star)</v>
      </c>
    </row>
    <row r="31" spans="1:10" x14ac:dyDescent="0.25">
      <c r="G31" s="13" t="s">
        <v>386</v>
      </c>
      <c r="H31" s="13" t="s">
        <v>712</v>
      </c>
      <c r="I31" s="8" t="str">
        <f t="shared" si="2"/>
        <v>post_title -&gt; title of the post</v>
      </c>
    </row>
    <row r="32" spans="1:10" ht="45" x14ac:dyDescent="0.25">
      <c r="G32" s="13" t="s">
        <v>387</v>
      </c>
      <c r="H32" s="13" t="s">
        <v>713</v>
      </c>
      <c r="I32" s="8" t="str">
        <f t="shared" si="2"/>
        <v>post_body -&gt; name of text post.md (if text that too after download and setting a .md file name), z-not-applicable (if gif or img)</v>
      </c>
    </row>
    <row r="33" spans="7:9" x14ac:dyDescent="0.25">
      <c r="G33" s="13" t="s">
        <v>2</v>
      </c>
      <c r="H33" s="13" t="s">
        <v>714</v>
      </c>
      <c r="I33" s="8" t="str">
        <f t="shared" si="2"/>
        <v>core_cat -&gt; refer to chart titled : core_cat</v>
      </c>
    </row>
    <row r="34" spans="7:9" ht="30" x14ac:dyDescent="0.25">
      <c r="G34" s="13" t="s">
        <v>22</v>
      </c>
      <c r="H34" s="13" t="s">
        <v>715</v>
      </c>
      <c r="I34" s="8" t="str">
        <f t="shared" si="2"/>
        <v>categories -&gt; comma seperated indicator which tell more about the post</v>
      </c>
    </row>
    <row r="35" spans="7:9" ht="45" x14ac:dyDescent="0.25">
      <c r="G35" s="13" t="s">
        <v>23</v>
      </c>
      <c r="H35" s="13" t="s">
        <v>716</v>
      </c>
      <c r="I35" s="8" t="str">
        <f t="shared" si="2"/>
        <v>positions -&gt; physical positions of the people in the said post (if gif or img), z-text-or-comment (if text)</v>
      </c>
    </row>
    <row r="36" spans="7:9" x14ac:dyDescent="0.25">
      <c r="G36" s="13" t="s">
        <v>1</v>
      </c>
      <c r="H36" s="13" t="s">
        <v>717</v>
      </c>
      <c r="I36" s="8" t="str">
        <f t="shared" si="2"/>
        <v>language -&gt; language of the post (mostly english only)</v>
      </c>
    </row>
    <row r="37" spans="7:9" x14ac:dyDescent="0.25">
      <c r="G37" s="13" t="s">
        <v>5</v>
      </c>
      <c r="H37" s="13" t="s">
        <v>718</v>
      </c>
      <c r="I37" s="8" t="str">
        <f t="shared" si="2"/>
        <v>rate -&gt; rating out of 10</v>
      </c>
    </row>
    <row r="38" spans="7:9" ht="30" x14ac:dyDescent="0.25">
      <c r="G38" s="13" t="s">
        <v>4</v>
      </c>
      <c r="H38" s="13" t="s">
        <v>719</v>
      </c>
      <c r="I38" s="8" t="str">
        <f t="shared" si="2"/>
        <v>general_tags -&gt; long string like contents to describe the post,something like a synopsis</v>
      </c>
    </row>
    <row r="39" spans="7:9" ht="30" x14ac:dyDescent="0.25">
      <c r="G39" s="13" t="s">
        <v>49</v>
      </c>
      <c r="H39" s="13" t="s">
        <v>720</v>
      </c>
      <c r="I39" s="8" t="str">
        <f t="shared" si="2"/>
        <v>reddit_website -&gt; reddit link converted to actual small website domain</v>
      </c>
    </row>
    <row r="40" spans="7:9" ht="30" x14ac:dyDescent="0.25">
      <c r="G40" s="13" t="s">
        <v>50</v>
      </c>
      <c r="H40" s="13" t="s">
        <v>721</v>
      </c>
      <c r="I40" s="8" t="str">
        <f t="shared" si="2"/>
        <v>site_website -&gt; site link converted to actual small website domain</v>
      </c>
    </row>
    <row r="41" spans="7:9" x14ac:dyDescent="0.25">
      <c r="G41" s="13" t="s">
        <v>26</v>
      </c>
      <c r="H41" s="13" t="s">
        <v>52</v>
      </c>
      <c r="I41" s="8" t="str">
        <f t="shared" si="2"/>
        <v>downloaded -&gt; yes,no</v>
      </c>
    </row>
    <row r="42" spans="7:9" ht="30" x14ac:dyDescent="0.25">
      <c r="G42" s="13" t="s">
        <v>388</v>
      </c>
      <c r="H42" s="13" t="s">
        <v>722</v>
      </c>
      <c r="I42" s="8" t="str">
        <f t="shared" si="2"/>
        <v>file_name -&gt; file name (if yes for downloaded), z-not-applicable (if no for downloaded)</v>
      </c>
    </row>
    <row r="43" spans="7:9" ht="45" x14ac:dyDescent="0.25">
      <c r="G43" s="13" t="s">
        <v>27</v>
      </c>
      <c r="H43" s="13" t="s">
        <v>724</v>
      </c>
      <c r="I43" s="8" t="str">
        <f t="shared" si="2"/>
        <v>download_note -&gt; notes (any modifications made to the download), z-not-applicable (if no note is present)</v>
      </c>
    </row>
    <row r="44" spans="7:9" ht="30" x14ac:dyDescent="0.25">
      <c r="G44" s="13" t="s">
        <v>704</v>
      </c>
      <c r="H44" s="13" t="s">
        <v>723</v>
      </c>
      <c r="I44" s="8" t="str">
        <f t="shared" si="2"/>
        <v>isDel -&gt; decides if the post has been unsaved from the reddit account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main_links</vt:lpstr>
      <vt:lpstr>Core_cat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Tikhe</dc:creator>
  <cp:lastModifiedBy>none</cp:lastModifiedBy>
  <cp:lastPrinted>2025-09-11T13:00:18Z</cp:lastPrinted>
  <dcterms:created xsi:type="dcterms:W3CDTF">2015-06-05T18:17:20Z</dcterms:created>
  <dcterms:modified xsi:type="dcterms:W3CDTF">2026-07-19T10:05:53Z</dcterms:modified>
</cp:coreProperties>
</file>